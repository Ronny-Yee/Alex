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workbookPr defaultThemeVersion="202300"/>
  <mc:AlternateContent xmlns:mc="http://schemas.openxmlformats.org/markup-compatibility/2006">
    <mc:Choice Requires="x15">
      <x15ac:absPath xmlns:x15ac="http://schemas.microsoft.com/office/spreadsheetml/2010/11/ac" url="C:\Users\ronys\OneDrive\Yee\"/>
    </mc:Choice>
  </mc:AlternateContent>
  <xr:revisionPtr revIDLastSave="0" documentId="8_{9B6F0306-1D52-4867-A6AD-54457ABE96C2}" xr6:coauthVersionLast="47" xr6:coauthVersionMax="47" xr10:uidLastSave="{00000000-0000-0000-0000-000000000000}"/>
  <bookViews>
    <workbookView xWindow="-105" yWindow="0" windowWidth="26010" windowHeight="20985" firstSheet="3" activeTab="5" xr2:uid="{940E021C-4EED-4B04-ABA7-811C0BAF1CE7}"/>
  </bookViews>
  <sheets>
    <sheet name="Claude Log" sheetId="2" r:id="rId1"/>
    <sheet name="📊 Dashboard" sheetId="3" r:id="rId2"/>
    <sheet name="🔧 HFC-HFH Overhaul" sheetId="4" r:id="rId3"/>
    <sheet name="⚖️ SF vs Apricot" sheetId="5" r:id="rId4"/>
    <sheet name="🚨 Alarm Audit" sheetId="6" r:id="rId5"/>
    <sheet name="📝 Meeting Log" sheetId="7" r:id="rId6"/>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7" i="5" l="1"/>
  <c r="C58" i="5" s="1"/>
</calcChain>
</file>

<file path=xl/sharedStrings.xml><?xml version="1.0" encoding="utf-8"?>
<sst xmlns="http://schemas.openxmlformats.org/spreadsheetml/2006/main" count="803" uniqueCount="647">
  <si>
    <t>Turn #</t>
  </si>
  <si>
    <t>Date</t>
  </si>
  <si>
    <t>User Request</t>
  </si>
  <si>
    <t>Action Taken</t>
  </si>
  <si>
    <t>Details</t>
  </si>
  <si>
    <t>Outcome</t>
  </si>
  <si>
    <t>User uploaded ATS Proposal PDF + VOIP Project Report XLSX. Asked for strategic analysis of 4 overlapping IT infrastructure projects across 5 sites: HFC/HFH overhaul, HCS Salesforce vs Apricot, Bay Alarm landline audit, and meeting/notes tracking. Wants thinking partner, not just a to-do list.</t>
  </si>
  <si>
    <t>FAMILY BRIDGES IT PROJECT PORTFOLIO — STATUS DASHBOARD</t>
  </si>
  <si>
    <t>Last Updated: 2026-03-08  |  PM: Solo IT  |  Sites: MO (168 11th), HFC/HFH (275 14th), LMCC, HCS  |  Key Vendor: ATS Communications</t>
  </si>
  <si>
    <t>PROJECT STATUS SUMMARY</t>
  </si>
  <si>
    <t>Project</t>
  </si>
  <si>
    <t>Status</t>
  </si>
  <si>
    <t>Phase</t>
  </si>
  <si>
    <t>Priority</t>
  </si>
  <si>
    <t>Next Action</t>
  </si>
  <si>
    <t>Owner</t>
  </si>
  <si>
    <t>Due</t>
  </si>
  <si>
    <t>Blocker?</t>
  </si>
  <si>
    <t>Dependencies</t>
  </si>
  <si>
    <t>Notes</t>
  </si>
  <si>
    <t>🔧 HFC/HFH Infrastructure Overhaul</t>
  </si>
  <si>
    <t>🟡 In Progress</t>
  </si>
  <si>
    <t>🔴 P1 — Critical</t>
  </si>
  <si>
    <t>You (IT)</t>
  </si>
  <si>
    <t>ASAP</t>
  </si>
  <si>
    <t>🚨 Bay Alarm Landline Audit</t>
  </si>
  <si>
    <t>🟡 Partial</t>
  </si>
  <si>
    <t>Discovery</t>
  </si>
  <si>
    <t>Audit all 5 sites for alarm landline deps</t>
  </si>
  <si>
    <t>YES — Partial knowledge only</t>
  </si>
  <si>
    <t>Blocks HFC/HFH cutover</t>
  </si>
  <si>
    <t>You know some sites but not all. Must include fire alarm, not just security.</t>
  </si>
  <si>
    <t>⚖️ Salesforce vs. Apricot (HCS)</t>
  </si>
  <si>
    <t>You (IT) + HCS</t>
  </si>
  <si>
    <t>Next week</t>
  </si>
  <si>
    <t>📝 Meeting &amp; Notes Tracking</t>
  </si>
  <si>
    <t>🟢 Starting</t>
  </si>
  <si>
    <t>Setup</t>
  </si>
  <si>
    <t>🟢 P3 — Ongoing</t>
  </si>
  <si>
    <t>Use Meeting Log tab going forward</t>
  </si>
  <si>
    <t>Ongoing</t>
  </si>
  <si>
    <t>No</t>
  </si>
  <si>
    <t>Supports all projects</t>
  </si>
  <si>
    <t>This workbook is now the single source of truth. Log every meeting.</t>
  </si>
  <si>
    <t>CRITICAL PATH &amp; TOP RISKS</t>
  </si>
  <si>
    <t>#</t>
  </si>
  <si>
    <t>Risk / Critical Item</t>
  </si>
  <si>
    <t>Impact</t>
  </si>
  <si>
    <t>Mitigation</t>
  </si>
  <si>
    <t>🔥 Fire alarm may depend on Comcast landline at HFC/HFH</t>
  </si>
  <si>
    <t>CRITICAL</t>
  </si>
  <si>
    <t>Call fire alarm monitoring company to verify communication path. Do NOT cancel Comcast until confirmed.</t>
  </si>
  <si>
    <t>OPEN</t>
  </si>
  <si>
    <t>🔥 ATS proposal quote expired (valid 30 days from 12/18/2025)</t>
  </si>
  <si>
    <t>HIGH</t>
  </si>
  <si>
    <t>Contact Tom at ATS (toms@teamATS.com, 800-995-4821) to renew/update Quote ID 26244-543</t>
  </si>
  <si>
    <t>Bay Alarm cellular migration timing — external dependency on Bay Alarm scheduling</t>
  </si>
  <si>
    <t>Contact Bay Alarm NOW to understand lead time for cellular radio unit installs</t>
  </si>
  <si>
    <t>Comcast P2P cable (168↔275) — does canceling Comcast lose the physical path?</t>
  </si>
  <si>
    <t>Clarify with Comcast: is EPL circuit required to maintain physical cable access?</t>
  </si>
  <si>
    <t>MEDIUM</t>
  </si>
  <si>
    <t>Solo IT bandwidth — cannot run parallel cutovers across sites</t>
  </si>
  <si>
    <t>Strict sequencing: one site at a time. Lean on ATS for installation labor.</t>
  </si>
  <si>
    <t>ONGOING</t>
  </si>
  <si>
    <t>Comcast ETF exposure — some contracts show expired dates but may have auto-renewed</t>
  </si>
  <si>
    <t>Request contract status from Comcast business rep for all accounts before disconnecting</t>
  </si>
  <si>
    <t>RECOMMENDED SEQUENCING</t>
  </si>
  <si>
    <t>Timing</t>
  </si>
  <si>
    <t>What Happens</t>
  </si>
  <si>
    <t>Gate / Must Be True Before Moving On</t>
  </si>
  <si>
    <t>NOW — 2 weeks</t>
  </si>
  <si>
    <t>🔧 HFC/HFH INFRASTRUCTURE OVERHAUL — DETAILED TASK TRACKER</t>
  </si>
  <si>
    <t>Site: 275 14th St, Oakland  |  Current: Toshiba PRI + Comcast bundle + mesh WiFi  |  Target: Intermedia Unite + Meraki + AT&amp;T fiber + VPN</t>
  </si>
  <si>
    <t>Workstream</t>
  </si>
  <si>
    <t>Task</t>
  </si>
  <si>
    <t>Dependency</t>
  </si>
  <si>
    <t>Target Date</t>
  </si>
  <si>
    <t>Notes / Decisions</t>
  </si>
  <si>
    <t>⚠️ NOT DONE</t>
  </si>
  <si>
    <t>🔴 YES</t>
  </si>
  <si>
    <t>Confirm Bay Alarm security system landline dependency at HFC/HFH</t>
  </si>
  <si>
    <t>Partial</t>
  </si>
  <si>
    <t>None</t>
  </si>
  <si>
    <t>🟡</t>
  </si>
  <si>
    <t>Contracts</t>
  </si>
  <si>
    <t>NOT DONE</t>
  </si>
  <si>
    <t>Vendor</t>
  </si>
  <si>
    <t>Fax</t>
  </si>
  <si>
    <t>Circuits</t>
  </si>
  <si>
    <t>Sign AT&amp;T contract for 1G dedicated fiber at 275 14th St</t>
  </si>
  <si>
    <t>NOT STARTED</t>
  </si>
  <si>
    <t>AT&amp;T</t>
  </si>
  <si>
    <t>Phone</t>
  </si>
  <si>
    <t>Sign ATS/Intermedia Unite contract (renewed quote)</t>
  </si>
  <si>
    <t>Alarm</t>
  </si>
  <si>
    <t>Bay Alarm</t>
  </si>
  <si>
    <t>VPN</t>
  </si>
  <si>
    <t>Configure site-to-site VPN (275 14th ↔ 168 11th + other sites)</t>
  </si>
  <si>
    <t>ATS installs Intermedia Unite phones (36 handsets + config)</t>
  </si>
  <si>
    <t>ATS</t>
  </si>
  <si>
    <t>Cutover</t>
  </si>
  <si>
    <t>Cleanup</t>
  </si>
  <si>
    <t>Cancel/reduce other Comcast services per plan</t>
  </si>
  <si>
    <t>⚖️ SALESFORCE vs. APRICOT — HCS SOFTWARE DECISION TRACKER</t>
  </si>
  <si>
    <t>Context: HCS wants Apricot for homeless services client registration. Org already has Salesforce. 2 Apricot meetings done + proposal received. SF demo next week.</t>
  </si>
  <si>
    <t>POLITICAL LANDSCAPE &amp; STRATEGY</t>
  </si>
  <si>
    <t>Current Situation</t>
  </si>
  <si>
    <t>Org-Wide Platform</t>
  </si>
  <si>
    <t>HCS Perspective</t>
  </si>
  <si>
    <t>MEETING LOG &amp; DECISION TIMELINE</t>
  </si>
  <si>
    <t>Meeting/Event</t>
  </si>
  <si>
    <t>Attendees</t>
  </si>
  <si>
    <t>Key Takeaways</t>
  </si>
  <si>
    <t>Decision / Next Step</t>
  </si>
  <si>
    <t>Who's Pushing What</t>
  </si>
  <si>
    <t>Risk Level</t>
  </si>
  <si>
    <t>(fill in)</t>
  </si>
  <si>
    <t>Salesforce Demo / Meeting</t>
  </si>
  <si>
    <t>PREP NEEDED: Ensure SF demo covers homeless services use case, HMIS, HUD reporting</t>
  </si>
  <si>
    <t>KEY MOMENT — this is your best shot to redirect</t>
  </si>
  <si>
    <t>You → Salesforce</t>
  </si>
  <si>
    <t>🟡 HIGH</t>
  </si>
  <si>
    <t>COMPARISON FRAMEWORK (fill in as you learn more)</t>
  </si>
  <si>
    <t>Criteria</t>
  </si>
  <si>
    <t>Apricot</t>
  </si>
  <si>
    <t>Salesforce</t>
  </si>
  <si>
    <t>Notes / Winner</t>
  </si>
  <si>
    <t>Homeless services workflows</t>
  </si>
  <si>
    <t>Staff learning curve</t>
  </si>
  <si>
    <t>DECISION</t>
  </si>
  <si>
    <t>🚨 BAY ALARM &amp; FIRE ALARM LANDLINE DEPENDENCY AUDIT — ALL SITES</t>
  </si>
  <si>
    <t>⚠️ RULE: No Comcast/landline service may be disconnected at ANY site until this audit confirms alarm independence. Life safety first.</t>
  </si>
  <si>
    <t>Site</t>
  </si>
  <si>
    <t>Address</t>
  </si>
  <si>
    <t>Bay Alarm on Landline?</t>
  </si>
  <si>
    <t>Fire Alarm on Landline?</t>
  </si>
  <si>
    <t>Landline Phone #(s)</t>
  </si>
  <si>
    <t>Cellular Radio Status</t>
  </si>
  <si>
    <t>Safe to Disconnect Landline?</t>
  </si>
  <si>
    <t>Notes / Verification</t>
  </si>
  <si>
    <t>HFC / HFH</t>
  </si>
  <si>
    <t>275 14th St</t>
  </si>
  <si>
    <t>❓ YES (confirm)</t>
  </si>
  <si>
    <t>❓ UNKNOWN</t>
  </si>
  <si>
    <t>(identify)</t>
  </si>
  <si>
    <t>Not installed</t>
  </si>
  <si>
    <t>🔴 NO</t>
  </si>
  <si>
    <t>PRIORITY: Verify fire alarm path ASAP. Call monitoring company.</t>
  </si>
  <si>
    <t>MO (Main Office)</t>
  </si>
  <si>
    <t>168 11th St</t>
  </si>
  <si>
    <t>Unknown</t>
  </si>
  <si>
    <t>Audit needed</t>
  </si>
  <si>
    <t>LMCC</t>
  </si>
  <si>
    <t>(address?)</t>
  </si>
  <si>
    <t>Audit needed. Already on Intermedia Unite.</t>
  </si>
  <si>
    <t>HCS</t>
  </si>
  <si>
    <t>1388 Harrison</t>
  </si>
  <si>
    <t>1388 Harrison St</t>
  </si>
  <si>
    <t>510-465-4726 (analog kept)</t>
  </si>
  <si>
    <t>N/A (analog backup)</t>
  </si>
  <si>
    <t>N/A</t>
  </si>
  <si>
    <t>Per plan, keeping analog lines here. Verify alarm status anyway.</t>
  </si>
  <si>
    <t>AUDIT CHECKLIST (do this for each site)</t>
  </si>
  <si>
    <t>☐</t>
  </si>
  <si>
    <t>1. Identify the alarm panel make/model at each site</t>
  </si>
  <si>
    <t>2. Call the alarm MONITORING company (not Bay Alarm installer): what communication path does the panel use?</t>
  </si>
  <si>
    <t>3. If landline: which phone number(s) are used for alarm signaling?</t>
  </si>
  <si>
    <t>4. Verify: is the fire alarm panel separate from the security alarm, or combined?</t>
  </si>
  <si>
    <t>5. Ask Bay Alarm: lead time and cost for cellular radio unit installation at each site</t>
  </si>
  <si>
    <t>6. After cellular installed: test alarm signal via cellular, confirm monitoring station receives it</t>
  </si>
  <si>
    <t>7. ONLY THEN mark 'Safe to Disconnect Landline' as ✅ YES</t>
  </si>
  <si>
    <t>📝 MEETING LOG &amp; ACTION ITEMS</t>
  </si>
  <si>
    <t>Log every meeting here. One row per meeting. Action items go in columns F-H. Review weekly.</t>
  </si>
  <si>
    <t>Meeting / Call With</t>
  </si>
  <si>
    <t>Key Discussion / Decisions</t>
  </si>
  <si>
    <t>Action Item</t>
  </si>
  <si>
    <t>All / Portfolio</t>
  </si>
  <si>
    <t>Claude AI (project planning session)</t>
  </si>
  <si>
    <t>Full portfolio review. Mapped dependencies across 4 projects. Identified fire alarm risk as critical blocker. Built tracking workbook.</t>
  </si>
  <si>
    <t>ATS quote expired — needs renewal. Bay Alarm lead time unknown. SF demo next week is key decision point.</t>
  </si>
  <si>
    <t>Complete Phase 0 discovery tasks (see HFC/HFH tab)</t>
  </si>
  <si>
    <t>Reviewed both files. Built 5-tab project tracking workbook: Dashboard, HFC/HFH Overhaul (29 tasks across 3 phases), SF vs Apricot (political strategy + comparison framework), Alarm Audit (5-site matrix + checklist), Meeting Log.</t>
  </si>
  <si>
    <t>VOIP Report: 9 tabs covering $5,854→$2,138/mo savings, network architecture, ATS Quote 26244-543 ($9,096 + $1,272/mo, expired). Key findings: fire alarm dependency unknown (critical blocker), ATS quote expired, Bay Alarm lead time unknown, Comcast P2P cable ownership unclear. SF/Apricot: HCS had 2 Apricot meetings + proposal, SF demo next week = last window. User is solo IT managing everything.</t>
  </si>
  <si>
    <t>Delivered: (1) Strategic dependency analysis, (2) 7 ranked risks, (3) 5-phase sequencing plan, (4) 5-tab tracking workbook. Immediate actions: fire alarm verification, Bay Alarm audit, ATS quote renewal, Comcast contract review. Dashboard ready for weekly status reviews.</t>
  </si>
  <si>
    <t>(pre-Mar 6)</t>
  </si>
  <si>
    <t>Apricot Intro Call w/ Nathan Lett (Bonterra)</t>
  </si>
  <si>
    <t>Nathan Lett (Bonterra AE), Tian Nguyen, Darby, Harriet, Ronnie (you)</t>
  </si>
  <si>
    <t>Discovery call. Nathan learned FB's pain points: spreadsheet-based, fragmented data, crisis team needs intake workflow, reentry services tracking. FB shared: 4 sites, ~10 users, existing SF is costly to customize. Nathan positioned Apricot as no-code, HIPAA-compliant, configurable.</t>
  </si>
  <si>
    <t>Live demo scheduled for Fri Mar 6. Nathan to send pre-recorded demo + Zoom link. FB to compile workflows, fields, reporting needs, integrations.</t>
  </si>
  <si>
    <t>HCS team → Apricot (strong interest)</t>
  </si>
  <si>
    <t>🟡 MEDIUM</t>
  </si>
  <si>
    <t>Apricot Live Demo w/ Colin (Bonterra)</t>
  </si>
  <si>
    <t>Colin (Bonterra demo), Nathan Lett, FB team</t>
  </si>
  <si>
    <t>Full platform demo: form builder, workflow engine, reporting, role-based permissions, participant profiles. Colin showed bulletins, drag-drop reports, calculated columns, visualizations. Discussed Health Roads billing integration ($10-30k). HMIS limitation: no automated export — manual entry required. AI features coming (Impact Hub, case-worker summaries).</t>
  </si>
  <si>
    <t>Nathan to email proposal + recording + trust center link. Decision: procure before Mar 31 for 50% impl discount (~$4,950 savings). Scoping call w/ Health Roads if billing integration wanted.</t>
  </si>
  <si>
    <t>HCS team → Apricot (strong, time pressure from discount)</t>
  </si>
  <si>
    <t>🔴 HIGH</t>
  </si>
  <si>
    <t>Annual license cost</t>
  </si>
  <si>
    <t>~10 users starter pkg. Exact $ TBD (proposal pending). + optional $6k/yr Advanced Support Consultant.</t>
  </si>
  <si>
    <t>HMIS / HUD reporting</t>
  </si>
  <si>
    <t>⚠️ NO automated HMIS export. Import tools exist, but HMIS/COSC data must be entered manually on those platforms.</t>
  </si>
  <si>
    <t>(needs config — ask in SF demo)</t>
  </si>
  <si>
    <t>NEITHER may fully automate HMIS. This weakens Apricot's core argument. Dig into this.</t>
  </si>
  <si>
    <t>✅ Strong. Workflow engine chains intake→assessment→eligibility→enrollment. No-code form builder. Field intake (short form) supported.</t>
  </si>
  <si>
    <t>(customizable but requires SF admin/dev work — currently costly per FB team)</t>
  </si>
  <si>
    <t>Apricot wins on out-of-box workflows. But SF can match with config — at what cost?</t>
  </si>
  <si>
    <t>Integration w/ org-wide data</t>
  </si>
  <si>
    <t>API + SFTP available. Can integrate with existing SF instance separately. But: it's a separate system.</t>
  </si>
  <si>
    <t>✅ Native — one platform, one reporting layer</t>
  </si>
  <si>
    <t>SF wins. Apricot = data silo requiring integration work.</t>
  </si>
  <si>
    <t>New system. 12-15 week implementation. Browser-based, no mobile app yet (planned). No-code admin.</t>
  </si>
  <si>
    <t>Customization flexibility</t>
  </si>
  <si>
    <t>✅ No-code. Admins add custom fields, forms, workflows without vendor. No extra fees.</t>
  </si>
  <si>
    <t>Requires SF admin or developer. FB notes: 'custom changes costly and time-consuming.'</t>
  </si>
  <si>
    <t>Apricot wins on self-service customization. This is a real pain point for your team.</t>
  </si>
  <si>
    <t>Security / Compliance</t>
  </si>
  <si>
    <t>✅ HIPAA-compliant, AWS-hosted, no data breaches, BAA available, role-based permissions, SSO via Microsoft</t>
  </si>
  <si>
    <t>✅ HIPAA-compliant, SOC 2, SSO</t>
  </si>
  <si>
    <t>Both adequate. Apricot explicitly positioned for social services compliance.</t>
  </si>
  <si>
    <t>Client portal / participant access</t>
  </si>
  <si>
    <t>✅ Client Connect portal — up to 10k participants, no extra cost. Document upload, branding.</t>
  </si>
  <si>
    <t>(requires Experience Cloud add-on — additional cost)</t>
  </si>
  <si>
    <t>Apricot wins. Included vs. add-on.</t>
  </si>
  <si>
    <t>Reporting</t>
  </si>
  <si>
    <t>✅ Drag-drop report builder, real-time, clickable, calculated columns, visualizations, publishable to home screen. AI 'Impact Hub' coming.</t>
  </si>
  <si>
    <t>✅ Powerful but requires more technical skill to build reports. Dashboards available.</t>
  </si>
  <si>
    <t>Apricot wins on ease of use for non-technical staff. SF wins on power/depth.</t>
  </si>
  <si>
    <t>Mar 31 deadline for 50% impl discount</t>
  </si>
  <si>
    <t>SF demo next week</t>
  </si>
  <si>
    <t>⚠️ TIME PRESSURE: Apricot discount expires Mar 31. Decision effectively needed within ~3 weeks.</t>
  </si>
  <si>
    <t>APRICOT PRICING &amp; TIMELINE INTEL (from demos)</t>
  </si>
  <si>
    <t>Bonterra (Apricot product)</t>
  </si>
  <si>
    <t>Account Exec</t>
  </si>
  <si>
    <t>Nathan Lett, Enterprise AE</t>
  </si>
  <si>
    <t>Demo Engineer</t>
  </si>
  <si>
    <t>Colin</t>
  </si>
  <si>
    <t>Starter Package</t>
  </si>
  <si>
    <t>10 user licenses (2 admin, 8 standard). Additional users added individually.</t>
  </si>
  <si>
    <t>Implementation</t>
  </si>
  <si>
    <t>12-15 weeks professional services (config, test, train). Go-live target: early June 2026 if procured now.</t>
  </si>
  <si>
    <t>Optional Support</t>
  </si>
  <si>
    <t>$6,000/yr for Advanced Support Consultant (24 hrs face-to-face). Recommended year 1.</t>
  </si>
  <si>
    <t>Billing Integration</t>
  </si>
  <si>
    <t>Via Health Roads (3rd party). E-CM billing integration: $10k-$30k+. Requires scoping call.</t>
  </si>
  <si>
    <t>⚠️ DISCOUNT DEADLINE</t>
  </si>
  <si>
    <t>50% off implementation if procured by Mar 31, 2026. Savings ~$4,950. Classic sales tactic — but real money.</t>
  </si>
  <si>
    <t>Year 1 Cost</t>
  </si>
  <si>
    <t>Subscription + implementation. Exact $ in proposal (pending from Nathan).</t>
  </si>
  <si>
    <t>Year 2+ Cost</t>
  </si>
  <si>
    <t>Subscription renewal only + optional $6k support. No implementation fee.</t>
  </si>
  <si>
    <t>HMIS Limitation</t>
  </si>
  <si>
    <t>No automated HMIS/COSC export. Import tools exist but external systems require manual entry. This is a significant gap for HUD-funded programs.</t>
  </si>
  <si>
    <t>Key Contacts from FB</t>
  </si>
  <si>
    <t>Tian Nguyen (Interim Sr. Program Dir), Darby (PM, Crisis Team), Harriet (Program &amp; Comms Coord), Ronnie (IT Admin / you)</t>
  </si>
  <si>
    <t>HCS had 2 Apricot meetings (intro call + full demo with Colin). Proposal pending from Nathan. Mar 31 deadline for 50% implementation discount creates urgency. Tian, Darby, and Harriet all attended — broad buy-in building. SF demo is next week. This is effectively your last window.</t>
  </si>
  <si>
    <t>Salesforce is already the org-wide CRM. Adding Apricot creates: dual licensing costs, data silos, separate training, no cross-program reporting. BUT your own team said: 'existing Salesforce custom changes are costly and time-consuming.' That's a real problem you need to address.</t>
  </si>
  <si>
    <t>Apricot is purpose-built for social services: no-code forms, workflow engine, client portal included, HIPAA-native, reporting for non-technical staff. They see it as built for THEM. And they're right — it IS easier to customize than SF for their use case.</t>
  </si>
  <si>
    <t>🚨 HMIS Gap (leverage)</t>
  </si>
  <si>
    <t>🚨 Discount Pressure</t>
  </si>
  <si>
    <t>Mar 31 deadline for 50% impl discount (~$4,950). Classic enterprise sales urgency tactic. Real savings, but don't let it rush a bad decision. You can negotiate after the deadline too.</t>
  </si>
  <si>
    <t>UPDATED STRATEGY</t>
  </si>
  <si>
    <t>1. Lead with the HMIS gap</t>
  </si>
  <si>
    <t>In the SF demo next week, explicitly ask: 'Does SF have automated HMIS export?' If yes, that's a concrete advantage over Apricot. If no, both platforms are equal on this — and it stops being an Apricot selling point.</t>
  </si>
  <si>
    <t>2. Address the customization pain</t>
  </si>
  <si>
    <t>Your team's own complaint was that SF is costly to customize. For SF to win, you need to show: (a) the Nonprofit Success Pack reduces custom work, OR (b) you'll invest in proper SF admin support. Otherwise the team's frustration is justified.</t>
  </si>
  <si>
    <t>3. Build the total cost comparison</t>
  </si>
  <si>
    <t>When Nathan's proposal arrives: Apricot (license + impl + $6k support + Health Roads integration) vs. SF (existing license + customization/admin cost for HCS workflows). Include 3-year view. Data silos have a cost too.</t>
  </si>
  <si>
    <t>4. Don't fight the deadline</t>
  </si>
  <si>
    <t>If Apricot genuinely wins the comparison, the Mar 31 discount is real savings. If SF wins, the discount is irrelevant. Make the decision on merit, THEN negotiate timing. Nathan will extend if you're a serious buyer.</t>
  </si>
  <si>
    <t>HCS Apricot momentum + Mar 31 discount deadline creating urgency. HMIS gap discovered.</t>
  </si>
  <si>
    <t>SF demo next week is key. Lead with HMIS question. Get Nathan's proposal to do real cost comparison. Don't let discount deadline rush decision.</t>
  </si>
  <si>
    <t>🔴 At Risk</t>
  </si>
  <si>
    <t>Evaluation (time pressure)</t>
  </si>
  <si>
    <t>🔴 P1 — Urgent</t>
  </si>
  <si>
    <t>SF demo next week. Get Apricot proposal from Nathan. Build cost comparison.</t>
  </si>
  <si>
    <t>Next week (demo); Mar 31 (deadline)</t>
  </si>
  <si>
    <t>🔴 Mar 31 discount deadline + broad HCS buy-in</t>
  </si>
  <si>
    <t>Independent (but now time-sensitive)</t>
  </si>
  <si>
    <t>2 demos done, proposal pending. HMIS gap discovered (no auto-export). Mar 31 = 50% impl discount (~$4,950). SF demo is last chance to redirect. Priority elevated.</t>
  </si>
  <si>
    <t>SF vs Apricot</t>
  </si>
  <si>
    <t>Nathan Lett (Bonterra), Tian, Darby, Harriet, Ronnie</t>
  </si>
  <si>
    <t>Get demo prep materials to Nathan</t>
  </si>
  <si>
    <t>✅ Done</t>
  </si>
  <si>
    <t>Review proposal when received. Prep HMIS question for SF demo.</t>
  </si>
  <si>
    <t>🟡 Pending</t>
  </si>
  <si>
    <t>User provided detailed notes from both Apricot meetings (intro call + full demo with Colin from Bonterra). Key intel: HMIS has no auto-export, Mar 31 discount deadline (50% off impl = ~$4,950), Health Roads billing integration $10-30k, 12-15 week implementation.</t>
  </si>
  <si>
    <t>Updated SF vs Apricot tab: populated both meeting log entries with full details, rewrote comparison framework with real data from demos, added pricing/timeline intel section, updated political strategy with HMIS gap leverage and discount deadline analysis. Updated Dashboard risk and status for this project.</t>
  </si>
  <si>
    <t>Critical discovery: Apricot does NOT auto-export to HMIS/COSC — manual entry required. This weakens their core pitch for HUD-funded programs. Also: FB team's own complaint ('SF custom changes costly and time-consuming') means SF has a real problem to address. Mar 31 deadline creates urgency but is likely negotiable.</t>
  </si>
  <si>
    <t>SF vs Apricot tab now fully populated with real intel. Dashboard updated to reflect elevated priority. Key recommendation: lead SF demo with HMIS question, build real cost comparison when Nathan's proposal arrives, don't let discount rush decision.</t>
  </si>
  <si>
    <t>SALESFORCE CURRENT STATE &amp; COST INTEL</t>
  </si>
  <si>
    <t>Item</t>
  </si>
  <si>
    <t>Detail</t>
  </si>
  <si>
    <t>Cost</t>
  </si>
  <si>
    <t>Invoice #</t>
  </si>
  <si>
    <t>36315910 (Invoice Date: 1/2/2026, Due: 2/1/2026, Net 30, Check)</t>
  </si>
  <si>
    <t>Account / Contract</t>
  </si>
  <si>
    <t>Account: 4-234154  |  Contract: 03366727  |  Quote: Q-06770692</t>
  </si>
  <si>
    <t>Service Period</t>
  </si>
  <si>
    <t>2/1/2026 – 1/31/2027 (12 months)</t>
  </si>
  <si>
    <t>Line 1: Nonprofit Cloud - Unlimited Edition - LP</t>
  </si>
  <si>
    <t>8 licenses × $104.40/user/mo × 12 months</t>
  </si>
  <si>
    <t>Line 2: Service Cloud - Unlimited Edition</t>
  </si>
  <si>
    <t>9 licenses × $64.08/user/mo × 12 months</t>
  </si>
  <si>
    <t>Total Annual SF Cost</t>
  </si>
  <si>
    <t>17 licenses total (8 Nonprofit Cloud + 9 Service Cloud)</t>
  </si>
  <si>
    <t>Monthly Equivalent</t>
  </si>
  <si>
    <t>Per-User Monthly (blended avg)</t>
  </si>
  <si>
    <t>17 total users</t>
  </si>
  <si>
    <t>SF Admin / Customization</t>
  </si>
  <si>
    <t>License Type (likely)</t>
  </si>
  <si>
    <t>✅ Active</t>
  </si>
  <si>
    <t>Nonprofit Cloud</t>
  </si>
  <si>
    <t>Core current users. Templates/add-ons by Arkus.</t>
  </si>
  <si>
    <t>Fiscal / Finance</t>
  </si>
  <si>
    <t>Inventory tracking</t>
  </si>
  <si>
    <t>Service Cloud</t>
  </si>
  <si>
    <t>IT (you)</t>
  </si>
  <si>
    <t>Asset inventory registration, ticket/helpdesk logging</t>
  </si>
  <si>
    <t>HCS (old team)</t>
  </si>
  <si>
    <t>Client information from previous HCS team</t>
  </si>
  <si>
    <t>⚠️ Legacy data only</t>
  </si>
  <si>
    <t>Nonprofit Cloud?</t>
  </si>
  <si>
    <t>Old client data exists but new HCS team never received a handover. Data may be stale or inaccessible to current staff.</t>
  </si>
  <si>
    <t>HCS (new team)</t>
  </si>
  <si>
    <t>NOT USING SF — wants Apricot instead</t>
  </si>
  <si>
    <t>🔴 Not active</t>
  </si>
  <si>
    <t>🚨 KEY ISSUE: New HCS team was never onboarded to SF. They have no relationship with the platform. This explains the Apricot pull — they're starting from scratch either way.</t>
  </si>
  <si>
    <t>🚨 WHAT THIS CHANGES — STRATEGIC IMPLICATIONS</t>
  </si>
  <si>
    <t>1. The handover gap explains everything</t>
  </si>
  <si>
    <t>The new HCS team was never onboarded to Salesforce. They didn't reject SF after trying it — they never experienced it. Of course they want their own tool. From their perspective, SF is "the old team's system" with data they can't access. Apricot feels like THEIR fresh start.</t>
  </si>
  <si>
    <t>2. You're already paying $16,943/yr</t>
  </si>
  <si>
    <t>Adding Apricot doesn't replace SF — it adds to it. Social Services, Fiscal, and IT still need SF. So the real cost of Apricot = Apricot license + implementation + $6k support + $16,943 SF you keep paying anyway. Dual-platform ongoing cost.</t>
  </si>
  <si>
    <t>3. You have 17 licenses but how many are used?</t>
  </si>
  <si>
    <t>8 Nonprofit Cloud + 9 Service Cloud = 17 licenses. Are all 17 actively assigned? If HCS's old licenses are sitting unused, you might be able to reassign them to the new HCS team at ZERO incremental cost. This is your strongest financial argument.</t>
  </si>
  <si>
    <t>5. The real question for leadership</t>
  </si>
  <si>
    <t>It's not SF vs Apricot. It's: 'Do we invest in making our existing $17k/yr platform work for HCS (via Arkus or a proper SF admin), or do we pay for a second platform ($X/yr + integration) because we failed to onboard our own team?'</t>
  </si>
  <si>
    <t>6. A middle path exists</t>
  </si>
  <si>
    <t>If HCS genuinely needs Apricot's social-services features AND the org keeps SF: negotiate an Apricot deal that includes data integration with SF, set reporting standards across both platforms, and assign responsibility for maintaining the integration. Don't let it become a silent data silo.</t>
  </si>
  <si>
    <t>🎯 BOTTOM LINE</t>
  </si>
  <si>
    <t>Before the SF demo: (1) Find out how many of 17 SF licenses are actively used, (2) Get Arkus annual spend from Finance, (3) Check if old HCS client data in SF is recoverable. These three facts will determine whether SF or Apricot is the right call.</t>
  </si>
  <si>
    <t>Already paying $16,943/yr (17 licenses). $1,412/mo. Possible unused HCS licenses to reassign = $0 incremental.</t>
  </si>
  <si>
    <t>SF wins IF HCS can use existing licenses. But add Arkus cost for customization — get that number from Finance.</t>
  </si>
  <si>
    <t>New HCS team was never onboarded. Old HCS data exists but no handover done. Need Arkus or SF admin to set up HCS workflows.</t>
  </si>
  <si>
    <t>Apricot: new system for everyone. SF: need onboarding + possible data recovery. Both have a learning curve.</t>
  </si>
  <si>
    <t>Your team said SF is costly to customize (Arkus dependency). BUT the HCS team's real issue is they were never onboarded to SF at all — the old team left without a handover. They're not rejecting SF; they never had access. If you can onboard them + recover old client data, SF becomes 'their' platform too.</t>
  </si>
  <si>
    <t>✅ PRE-SF-DEMO ACTION ITEMS (do these BEFORE next week)</t>
  </si>
  <si>
    <t>Get Arkus annual spend from Finance</t>
  </si>
  <si>
    <t>This is the hidden SF cost. If Arkus charges $30k+/yr, the 'SF is already paid for' argument weakens significantly.</t>
  </si>
  <si>
    <t>Check how many of 17 SF licenses are actively assigned</t>
  </si>
  <si>
    <t>Log into SF admin → Setup → Company Information. Count active users vs. licenses owned. If unused licenses exist, HCS can use them.</t>
  </si>
  <si>
    <t>Check if old HCS client data is still in Salesforce</t>
  </si>
  <si>
    <t>Search for HCS-related records, contacts, cases. If data is intact, recovering it is a win — it shows SF already has their history.</t>
  </si>
  <si>
    <t>Ask Arkus: what would it cost to build HCS homeless services workflows in SF?</t>
  </si>
  <si>
    <t>Intake form, case management, enrollment, assessments, reporting dashboard. Get a rough quote to compare against Apricot implementation.</t>
  </si>
  <si>
    <t>Ask SF demo presenter about HMIS automated export</t>
  </si>
  <si>
    <t>This is Apricot's confirmed weakness. If SF can do it (even via AppExchange package), it's a differentiator.</t>
  </si>
  <si>
    <t>Ask SF about Nonprofit Cloud case management features</t>
  </si>
  <si>
    <t>You already have 8 Nonprofit Cloud licenses. What homeless-services-specific features are included? Program enrollment, assessments, outcomes tracking?</t>
  </si>
  <si>
    <t>Ask SF about client portal (Experience Cloud)</t>
  </si>
  <si>
    <t>Apricot includes Client Connect (10k participants, free). SF's equivalent (Experience Cloud) is an add-on. Get the price.</t>
  </si>
  <si>
    <t>Review Nathan's Apricot proposal when it arrives</t>
  </si>
  <si>
    <t>Get the exact annual price to put in the cost comparison. You need apples-to-apples numbers for the leadership conversation.</t>
  </si>
  <si>
    <t>3-YEAR TOTAL COST OF OWNERSHIP COMPARISON (fill in when Apricot proposal arrives)</t>
  </si>
  <si>
    <t>Cost Item</t>
  </si>
  <si>
    <t>Option A: SF Only (add HCS to existing)</t>
  </si>
  <si>
    <t>Option B: SF + Apricot (dual platform)</t>
  </si>
  <si>
    <t>SF Annual License (existing)</t>
  </si>
  <si>
    <t>Paid either way. 8 Nonprofit Cloud + 9 Service Cloud.</t>
  </si>
  <si>
    <t>Arkus SF Admin (annual est.)</t>
  </si>
  <si>
    <t>SF HCS build-out (one-time)</t>
  </si>
  <si>
    <t>(quote from Arkus)</t>
  </si>
  <si>
    <t>Only needed if HCS uses SF. Ask Arkus for estimate.</t>
  </si>
  <si>
    <t>Apricot Annual License</t>
  </si>
  <si>
    <t>(from Nathan's proposal)</t>
  </si>
  <si>
    <t>10-user starter package. Get exact number.</t>
  </si>
  <si>
    <t>Apricot Implementation</t>
  </si>
  <si>
    <t>(from proposal, -50% if by Mar 31)</t>
  </si>
  <si>
    <t>One-time. ~$9,900 full or ~$4,950 with discount.</t>
  </si>
  <si>
    <t>Apricot Enhanced Support (Yr 1)</t>
  </si>
  <si>
    <t>Optional but recommended. $6k/yr for 24hrs face-to-face.</t>
  </si>
  <si>
    <t>Health Roads Integration (if needed)</t>
  </si>
  <si>
    <t>$10,000-$30,000</t>
  </si>
  <si>
    <t>E-CM billing integration. One-time. May not be needed Year 1.</t>
  </si>
  <si>
    <t>SF↔Apricot Data Integration</t>
  </si>
  <si>
    <t>(scope TBD)</t>
  </si>
  <si>
    <t>If dual-platform: who builds cross-program reporting? API work needed.</t>
  </si>
  <si>
    <t>3-YEAR TOTAL</t>
  </si>
  <si>
    <t>(calculate when data complete)</t>
  </si>
  <si>
    <t>Fill in red items above, then total. Present this to leadership.</t>
  </si>
  <si>
    <t>COST DIFFERENCE (B minus A)</t>
  </si>
  <si>
    <t>This is the real incremental cost of choosing Apricot over SF.</t>
  </si>
  <si>
    <t>User shared Salesforce invoice screenshots (Invoice #36315910, $16,943.04/yr for 17 licenses) and org-wide SF usage context: Social Services (client reg), Fiscal (inventory), IT (asset/tickets), HCS (legacy data only). Key revelation: new HCS team never received SF handover from old team.</t>
  </si>
  <si>
    <t>Added to SF vs Apricot tab: SF cost breakdown ($10,022 Nonprofit Cloud + $6,921 Service Cloud), org-wide usage map (5 departments), strategic implications analysis (handover gap is root cause), 8-item pre-demo checklist, 3-year TCO comparison framework with both options.</t>
  </si>
  <si>
    <t>SF Invoice: 8 Nonprofit Cloud Unlimited ($104.40/user/mo) + 9 Service Cloud Unlimited ($64.08/user/mo) = $16,943.04/yr. Arkus handles customization (cost unknown - need from Finance). Critical insight: HCS never rejected SF, they were never onboarded. Old HCS data may still be in SF. Unused licenses may be reassignable at $0 incremental cost.</t>
  </si>
  <si>
    <t>SF vs Apricot tab now has full cost data, usage map, strategic analysis, and TCO framework. Three critical pre-demo tasks: (1) Get Arkus annual spend, (2) Count active vs total SF licenses, (3) Check if old HCS data exists in SF. These facts will determine the recommendation.</t>
  </si>
  <si>
    <t>PHASE 1: MERAKI AP INSTALL (STARTING NOW)</t>
  </si>
  <si>
    <t>Meraki</t>
  </si>
  <si>
    <t>⭐ ATS meeting — discuss AP models, qty, site survey, install plan</t>
  </si>
  <si>
    <t>🟡 SCHEDULED</t>
  </si>
  <si>
    <t>You + ATS</t>
  </si>
  <si>
    <t>Wed Mar 11</t>
  </si>
  <si>
    <t>⭐ NEXT MEETING. Key questions: which Meraki models? How many APs per floor? Switches needed? Cabling? Install timeline? After-hours or live?</t>
  </si>
  <si>
    <t>Finalize Meraki equipment order (models, qty, licensing)</t>
  </si>
  <si>
    <t>1.1 (ATS meeting)</t>
  </si>
  <si>
    <t>After Wed meeting</t>
  </si>
  <si>
    <t>ATS should provide a Bill of Materials after the site survey/discussion. Confirm Meraki licensing model (per-AP annual).</t>
  </si>
  <si>
    <t>Meraki equipment delivery</t>
  </si>
  <si>
    <t>ATS / Meraki</t>
  </si>
  <si>
    <t>1.2 ordered</t>
  </si>
  <si>
    <t>1-2 weeks after order</t>
  </si>
  <si>
    <t>Confirm shipping timeline with ATS. Equipment needs to arrive before install can be scheduled.</t>
  </si>
  <si>
    <t>Install Meraki APs and switches at HFC/HFH (275 14th St)</t>
  </si>
  <si>
    <t>1.3 (equipment received)</t>
  </si>
  <si>
    <t>TBD (after delivery)</t>
  </si>
  <si>
    <t>Replace mesh WiFi. Discuss with ATS on Wed: after-hours install? SSID migration plan? Staff comms?</t>
  </si>
  <si>
    <t>Configure Meraki Dashboard, SSIDs, VLANs, firewall rules</t>
  </si>
  <si>
    <t>Same as install</t>
  </si>
  <si>
    <t>Set up Meraki cloud management. Configure guest WiFi separately from staff. Apply security policies.</t>
  </si>
  <si>
    <t>Test WiFi coverage, speed, and roaming across HFC/HFH</t>
  </si>
  <si>
    <t>Day after install</t>
  </si>
  <si>
    <t>Walk test all areas. Check dead spots. Verify handoff between APs. Confirm devices connecting properly.</t>
  </si>
  <si>
    <t>PHASE 2: DISCOVERY &amp; DE-RISKING (parallel with Phase 1)</t>
  </si>
  <si>
    <t>Verify fire alarm communication path at HFC/HFH — landline, cellular, or IP?</t>
  </si>
  <si>
    <t>None — do NOW</t>
  </si>
  <si>
    <t>Call fire alarm monitoring co. Ask: what comm path does the panel use? If landline, which number? BLOCKER for any Comcast changes.</t>
  </si>
  <si>
    <t>You know Bay Alarm is on landline. Need: which specific phone number(s)?</t>
  </si>
  <si>
    <t>Contact Bay Alarm: lead time for cellular radio unit installation?</t>
  </si>
  <si>
    <t>Need their scheduling timeline. This is an external dependency for eventual Comcast disconnect.</t>
  </si>
  <si>
    <t>Review Comcast account 963200656 (PRI) for ETF / auto-renewal terms</t>
  </si>
  <si>
    <t>This month</t>
  </si>
  <si>
    <t>Current: $917.70/mo. No rush to cancel — but need to know what you're dealing with.</t>
  </si>
  <si>
    <t>Confirm: does canceling Comcast EPL affect physical P2P cable (168↔275)?</t>
  </si>
  <si>
    <t>EPL carries PRI only, no data. $951.24/mo. Physical path question matters for VPN later.</t>
  </si>
  <si>
    <t>Renew ATS Quote ID 26244-543 for Intermedia Unite (expired)</t>
  </si>
  <si>
    <t>Discuss Wed?</t>
  </si>
  <si>
    <t>Bring up in Wed ATS meeting? Or separate conversation. Tom: toms@teamATS.com / 800-995-4821.</t>
  </si>
  <si>
    <t>Identify fax line number in Comcast bundle — confirm eFax or ATA approach</t>
  </si>
  <si>
    <t>ATS quote includes 2x Grandstream HT801 ATA ($90). Low priority — can wait until VoIP phase.</t>
  </si>
  <si>
    <t>PHASE 3: VoIP MIGRATION (after Meraki complete, NO terminations)</t>
  </si>
  <si>
    <t>Phase 2 discovery done</t>
  </si>
  <si>
    <t>After Phase 1</t>
  </si>
  <si>
    <t>Proposed: $110/mo. 2-3 week install lead time — order early. Can overlap with Meraki work.</t>
  </si>
  <si>
    <t>AT&amp;T circuit installation at 275 14th St</t>
  </si>
  <si>
    <t>3.1 signed</t>
  </si>
  <si>
    <t>2-3 wks after order</t>
  </si>
  <si>
    <t>Critical path for VPN. Everything downstream waits for this.</t>
  </si>
  <si>
    <t>2.6 (quote renewed)</t>
  </si>
  <si>
    <t>32 Unite Essential + 4 Unite Express. 36 Yealink T44W + 1 T54W. $9,096 one-time + $1,272.44/mo.</t>
  </si>
  <si>
    <t>You / ATS</t>
  </si>
  <si>
    <t>3.2 (AT&amp;T circuit live)</t>
  </si>
  <si>
    <t>After AT&amp;T live</t>
  </si>
  <si>
    <t>IPSec tunnels. Hub-and-spoke with mesh backup. Meraki can handle VPN if using MX appliance — discuss with ATS Wed.</t>
  </si>
  <si>
    <t>Test VPN connectivity, throughput, remote PC access</t>
  </si>
  <si>
    <t>Test: remote desktop to staff PCs, inter-office traffic, phone quality over VPN.</t>
  </si>
  <si>
    <t>3.2, 3.5 (circuit live + VPN tested)</t>
  </si>
  <si>
    <t>ATS installation &amp; training included ($3,600). Port 39 numbers ($117). Run PARALLEL with Toshiba.</t>
  </si>
  <si>
    <t>Parallel run: Intermedia Unite alongside Toshiba PRI (do NOT terminate Toshiba)</t>
  </si>
  <si>
    <t>You + Staff</t>
  </si>
  <si>
    <t>⚠️ KEEP BOTH SYSTEMS RUNNING. Test call quality, routing, voicemail, mobile apps. Collect staff feedback. No terminations.</t>
  </si>
  <si>
    <t>Set up eFax or Grandstream ATA for fax migration</t>
  </si>
  <si>
    <t>Can do anytime during this phase. Quick win, low risk.</t>
  </si>
  <si>
    <t>PHASE 4: ALARM MIGRATION (can overlap with Phase 3)</t>
  </si>
  <si>
    <t>Bay Alarm installs cellular radio unit at HFC/HFH</t>
  </si>
  <si>
    <t>2.3 (lead time known)</t>
  </si>
  <si>
    <t>TBD</t>
  </si>
  <si>
    <t>Schedule once lead time is known from Phase 2. Must be done before ANY landline can be disconnected.</t>
  </si>
  <si>
    <t>Test: verify alarm signals reporting correctly via cellular</t>
  </si>
  <si>
    <t>Bay Alarm + You</t>
  </si>
  <si>
    <t>After install</t>
  </si>
  <si>
    <t>Trigger test alarm. Confirm monitoring station receives signal via cellular path. Document results.</t>
  </si>
  <si>
    <t>Confirm fire alarm is independent of Comcast (or migrate to cellular too)</t>
  </si>
  <si>
    <t>You / Fire alarm co.</t>
  </si>
  <si>
    <t>2.1 (path confirmed)</t>
  </si>
  <si>
    <t>If fire alarm IS on landline: add cellular communicator to fire panel too. Do NOT proceed to Phase 5 until confirmed.</t>
  </si>
  <si>
    <t>PHASE 5: CLEANUP &amp; TERMINATIONS (only after everything proven)</t>
  </si>
  <si>
    <t>Production go-live: switch all calls to Intermedia Unite, decommission Toshiba PRI</t>
  </si>
  <si>
    <t>3.7 passed</t>
  </si>
  <si>
    <t>After parallel run</t>
  </si>
  <si>
    <t>Only after staff is comfortable and no issues in parallel run. Schedule after-hours. Keep Toshiba as fallback 1 week.</t>
  </si>
  <si>
    <t>Cancel Comcast PRI (acct 963200656)</t>
  </si>
  <si>
    <t>5.1 + 4.2 + 4.3</t>
  </si>
  <si>
    <t>⚠️ LAST</t>
  </si>
  <si>
    <t>🔴 GATE: Phones working on Unite ✅ + Alarms on cellular ✅ + Fire alarm independent ✅. ALL THREE must be true. $917.70/mo savings starts here.</t>
  </si>
  <si>
    <t>After 5.2</t>
  </si>
  <si>
    <t>Review each line in Service Inventory. BCI 35/5, voice lines, etc. per original plan.</t>
  </si>
  <si>
    <t>Verify final billing — old services stopped, new billing correct</t>
  </si>
  <si>
    <t>You / Finance</t>
  </si>
  <si>
    <t>1 month after</t>
  </si>
  <si>
    <t>Compare actual bills to proposed state in Financial Analysis. Flag any discrepancies.</t>
  </si>
  <si>
    <t>Docs</t>
  </si>
  <si>
    <t>Update network documentation, asset inventory, password records</t>
  </si>
  <si>
    <t>All phases</t>
  </si>
  <si>
    <t>Document: new Meraki dashboard, VPN config, Intermedia admin portal, new circuit IDs, alarm panel details.</t>
  </si>
  <si>
    <t>🟢 Active</t>
  </si>
  <si>
    <t>Phase 1: Meraki Install</t>
  </si>
  <si>
    <t>ATS meeting Wed Mar 11 re: Meraki APs</t>
  </si>
  <si>
    <t>No (Meraki is independent)</t>
  </si>
  <si>
    <t>None — Meraki can proceed independently</t>
  </si>
  <si>
    <t>Meraki AP install first, then VoIP migration. NO terminations until everything proven. ATS meeting Wednesday to plan AP install.</t>
  </si>
  <si>
    <t>NOW (Wed meeting)</t>
  </si>
  <si>
    <t>ATS meeting Wed re: AP models/qty. Order equipment. Install at HFC/HFH. Replace mesh WiFi.</t>
  </si>
  <si>
    <t>✅ Meraki APs installed and tested. WiFi working across HFC/HFH.</t>
  </si>
  <si>
    <t>Phase 2: Discovery (parallel)</t>
  </si>
  <si>
    <t>Fire alarm verification, Bay Alarm audit, Comcast contract review, P2P cable question, renew ATS VoIP quote.</t>
  </si>
  <si>
    <t>✅ Fire alarm path confirmed. ✅ Bay Alarm map complete. ✅ Comcast ETF known. ✅ ATS quote renewed.</t>
  </si>
  <si>
    <t>Phase 3: VoIP Migration</t>
  </si>
  <si>
    <t>After Meraki done</t>
  </si>
  <si>
    <t>AT&amp;T circuit, VPN config, Intermedia Unite install, parallel run with Toshiba PRI. NO TERMINATIONS.</t>
  </si>
  <si>
    <t>✅ VPN tested. ✅ Phones working in parallel. ✅ Staff comfortable with new system.</t>
  </si>
  <si>
    <t>Phase 4: Alarm Migration</t>
  </si>
  <si>
    <t>Parallel w/ Phase 3</t>
  </si>
  <si>
    <t>Bay Alarm cellular install at HFC/HFH. Test alarm signals. Confirm fire alarm independence.</t>
  </si>
  <si>
    <t>✅ All alarms on cellular. ✅ Fire alarm confirmed independent.</t>
  </si>
  <si>
    <t>Phase 5: Cleanup &amp; Termination</t>
  </si>
  <si>
    <t>LAST — only after all proven</t>
  </si>
  <si>
    <t>Go-live on Unite. Cancel Comcast PRI + other services. Verify billing. Document everything.</t>
  </si>
  <si>
    <t>✅ Unite live. ✅ Alarms on cellular. ✅ Fire alarm clear. THEN cancel Comcast.</t>
  </si>
  <si>
    <t>Mar 11 (Wed)</t>
  </si>
  <si>
    <t>HFC/HFH Overhaul</t>
  </si>
  <si>
    <t>ATS Communications</t>
  </si>
  <si>
    <t>(paste meeting notes here after the call)</t>
  </si>
  <si>
    <t>PREP: Ask about Meraki models, qty, site survey, install timeline, cabling needs, after-hours install, licensing. Also: bring up VoIP quote renewal?</t>
  </si>
  <si>
    <t>(fill in after meeting)</t>
  </si>
  <si>
    <t>You</t>
  </si>
  <si>
    <t>⭐ UPCOMING</t>
  </si>
  <si>
    <t>UPCOMING / PLANNED MEETINGS</t>
  </si>
  <si>
    <t>Salesforce (demo)</t>
  </si>
  <si>
    <t>(paste notes after)</t>
  </si>
  <si>
    <t>⭐ SCHEDULED</t>
  </si>
  <si>
    <t>(TBD)</t>
  </si>
  <si>
    <t>(schedule this call)</t>
  </si>
  <si>
    <t>Ask: lead time for cellular radio unit install, cost, which sites can they cover?</t>
  </si>
  <si>
    <t>⏳ TO SCHEDULE</t>
  </si>
  <si>
    <t>User decided: Meraki AP install first (ATS meeting Wed Mar 11), then VoIP migration with NO terminations. Wants to paste meeting notes into tracker after each meeting.</t>
  </si>
  <si>
    <t>Restructured HFC/HFH tab from 3 phases to 5: (1) Meraki Install, (2) Discovery parallel, (3) VoIP Migration, (4) Alarm Migration, (5) Cleanup/Terminations. Updated Dashboard sequencing. Pre-populated Wed ATS meeting in Meeting Log with prep questions. Added upcoming meetings section.</t>
  </si>
  <si>
    <t>New phase structure: Meraki first (independent, can start immediately), discovery in parallel (alarm/contracts), VoIP after Meraki (AT&amp;T circuit, VPN, Intermedia Unite parallel run), alarm migration (Bay Alarm cellular), terminations LAST (only after all systems proven). 33 total tasks across 5 phases.</t>
  </si>
  <si>
    <t>HFC/HFH tab restructured and ready. Meeting Log has Wed ATS meeting pre-loaded with prep questions. User can paste notes after each meeting and I'll process them into the tracker. Dashboard updated to reflect active Phase 1.</t>
  </si>
  <si>
    <t>DISCOVERY CALL — What HCS told Bonterra they need:
• Currently using spreadsheets/manual processes — data fragmented, hard to segment/report
• Crisis team mediates in Chinatown — needs streamlined intake and case-manager handoff
• Reentry services: resume building, mock interviews, gift cards, life-skill coaching
• Transitioning from shelter-based model to broader case management
• 4 locations, varied user levels (admin, super users, regular)
• Already have Salesforce but 'custom changes are costly and time-consuming'
• Need: consolidated client data in a single system
• Need: field intake (short form) + full case-manager intake workflow
• Need: track client journey across programs (letter writing → tech support → employment)
• Need: funder-ready reporting and impact measurement (60/90-day assessments)
• Need: custom fields without extra fees, flexible dashboards
• Need: HIPAA-compliant, secure, domain-based user provisioning
• Want: client portal for document upload (but participants may have limited internet)
• 10 users to start (2 admin, 8 standard)</t>
  </si>
  <si>
    <t>Nathan to send pre-recorded demo + Zoom link. FB team to compile workflows, field requirements, reporting needs, and integrations needed. Live demo scheduled.
Key Bonterra responses:
• Apricot is HIPAA-compliant, AWS-hosted, no data breaches
• No-code customization — admins can edit workflows on the fly
• Optional Advanced Support Consultant ($6k/yr) for deeper help
• Scalable from 1-2 users to thousands
• Client Connect portal included (up to 10k participants, no extra cost)
• Browser-based; mobile app planned but not available yet
• SSO via Microsoft supported</t>
  </si>
  <si>
    <t>FULL DEMO — What Colin showed + what was discussed:
• Home screen 'bulletins' as shortcuts, announcements, report links
• Cloud-based, browser on any device including mobile
• Role-based permissions control data visibility across programs/sites
• 'Sites' and 'Programs' hierarchy to segment users/data geographically
• Single universal participant profile = 'single source of truth' across programs
• Customizable fields: required, duplicate-check, searchable, permission-based
• Form logic (hide/reveal, conditional required) for dynamic data capture
• Drag-and-drop form builder with column layouts, sections, field types
• Workflow engine to chain forms: intake → assessment → eligibility → enrollment
• Reporting: drag-drop fields, real-time, clickable, calculated columns, visualizations
• Reports publishable to home screen or run ad-hoc, exportable to spreadsheets
• Duplicate-check fields (name + DOB) prevent double records; merge function available
• AI 'Impact Hub' coming — auto-generates reports from natural-language queries
⚠️ HMIS LIMITATION: No automated export to HMIS/COSC — manual entry required
⚠️ BILLING: Apricot does not handle billing directly — integrates via Health Roads ($10-30k+)</t>
  </si>
  <si>
    <t>Nathan sending proposal + recording + trust center link.
Key decisions/asks from the demo:
• Procure before Mar 31 for 50% implementation discount (~$4,950 savings)
• Scoping call with Health Roads if billing integration wanted
• Provide Colin with program-specific requirements or template preferences
• Identify a dedicated ASC contact for year-one enhanced support
• Implementation: 12-15 weeks, go-live target early June 2026
Questions HCS raised in the demo:
• SSO via Microsoft tenant? → YES, admins set up authentication
• How to handle returning clients after a year? → duplicate check + merge + re-enrollment
• Reporting on granular metrics (e.g., credit score changes)? → YES via custom fields
• HMIS integration? → Import tools exist but NO automated HMIS export
• Can add custom fields later without vendor? → YES, no-code admin tools</t>
  </si>
  <si>
    <t>🎯 WHAT HCS ASKED BONTERRA FOR — ASK SALESFORCE THE SAME THINGS</t>
  </si>
  <si>
    <t>What HCS Told Bonterra They Need</t>
  </si>
  <si>
    <t>What Apricot Said</t>
  </si>
  <si>
    <t>ASK SALESFORCE: Can you do this? How?</t>
  </si>
  <si>
    <t>Consolidate all client data into a single system (replacing fragmented spreadsheets)</t>
  </si>
  <si>
    <t>✅ Single participant profile across all programs. 'Single source of truth.'</t>
  </si>
  <si>
    <t>Can SF provide a unified client record across multiple programs (Social Services, HCS, etc.)? Is this out-of-box or does Arkus need to build it?</t>
  </si>
  <si>
    <t>Field intake (short form) + full case-manager intake workflow</t>
  </si>
  <si>
    <t>✅ Workflow engine chains forms: intake → assessment → eligibility → enrollment. Drag-drop form builder.</t>
  </si>
  <si>
    <t>Can SF do a multi-step intake workflow? Short field form → full case manager intake? How much customization is needed (Arkus or out-of-box)?</t>
  </si>
  <si>
    <t>Track client journey across programs (letter writing → tech support → employment)</t>
  </si>
  <si>
    <t>✅ Universal profile tracks participation across programs. Workflow chaining.</t>
  </si>
  <si>
    <t>Can SF show a client's journey across multiple programs in one view? Is there a case management pathway tracker?</t>
  </si>
  <si>
    <t>Funder-ready reporting and impact measurement (60/90-day assessments)</t>
  </si>
  <si>
    <t>✅ Drag-drop report builder, calculated columns, visualizations, exportable. AI Impact Hub coming.</t>
  </si>
  <si>
    <t>Can SF generate funder-ready reports for HUD/grants? Can non-technical staff build their own reports? How hard is this vs Apricot's drag-drop?</t>
  </si>
  <si>
    <t>Add custom fields without extra fees or vendor involvement</t>
  </si>
  <si>
    <t>✅ No-code admin tools. Admins add fields, forms, workflows without vendor. No extra fees.</t>
  </si>
  <si>
    <t>⚠️ THIS IS THE KEY QUESTION. Can HCS staff add custom fields themselves, or does everything go through Arkus? What does Arkus charge for a field change?</t>
  </si>
  <si>
    <t>Flexible dashboards</t>
  </si>
  <si>
    <t>✅ Real-time dashboards, publishable to home screen, customizable per role.</t>
  </si>
  <si>
    <t>Can SF provide role-specific dashboards that non-technical users can customize? Drag-drop or does it require admin skills?</t>
  </si>
  <si>
    <t>HIPAA-compliant, secure data handling</t>
  </si>
  <si>
    <t>✅ HIPAA-compliant, AWS-hosted, no data breaches, BAA available, role-based permissions.</t>
  </si>
  <si>
    <t>Is your SF instance HIPAA-compliant? Do you have a BAA with Salesforce? Is Nonprofit Cloud Unlimited HIPAA-ready out of box?</t>
  </si>
  <si>
    <t>Domain-based user provisioning (SSO via Microsoft)</t>
  </si>
  <si>
    <t>✅ SSO via Microsoft tenant supported.</t>
  </si>
  <si>
    <t>Is SSO already configured in your SF org? If not, what's needed to enable it?</t>
  </si>
  <si>
    <t>Client portal for document upload</t>
  </si>
  <si>
    <t>✅ Client Connect portal — up to 10k participants, no extra cost. Full branding.</t>
  </si>
  <si>
    <t>⚠️ SF equivalent is Experience Cloud — this is an ADD-ON with extra cost. Get the price. Or ask if there's a free alternative.</t>
  </si>
  <si>
    <t>Handle returning clients (came a year ago, coming back)</t>
  </si>
  <si>
    <t>✅ Duplicate-check fields (name + DOB), merge function, re-enrollment workflow.</t>
  </si>
  <si>
    <t>Does SF have duplicate detection and merge for returning clients? Is there a re-enrollment workflow?</t>
  </si>
  <si>
    <t>Crisis team intake: streamlined intake + case-manager handoff in Chinatown</t>
  </si>
  <si>
    <t>✅ Form logic, conditional fields, workflow chaining for multi-step processes.</t>
  </si>
  <si>
    <t>Can SF handle a crisis intake form that hands off to a case manager? Mobile-friendly for field work?</t>
  </si>
  <si>
    <t>Reentry services tracking (resume, interviews, gift cards, life skills, credit scores)</t>
  </si>
  <si>
    <t>✅ Custom fields for any data point. Reporting on granular metrics like credit score changes.</t>
  </si>
  <si>
    <t>Can SF track reentry program milestones with custom fields? Can it report on outcomes like credit score changes over time?</t>
  </si>
  <si>
    <t>HMIS / HUD automated reporting</t>
  </si>
  <si>
    <t>⚠️ NO automated HMIS export. Import tools exist but manual entry required on HMIS/COSC platforms.</t>
  </si>
  <si>
    <t>🎯 KEY DIFFERENTIATOR OPPORTUNITY. Does SF have HMIS export (native or AppExchange)? If yes, this is your winning argument. If no, it's a tie.</t>
  </si>
  <si>
    <t>Billing / revenue cycle management</t>
  </si>
  <si>
    <t>⚠️ Not built-in. Integrates via Health Roads ($10-30k+).</t>
  </si>
  <si>
    <t>Does SF handle billing natively, or also need a third-party integration? Is this even a requirement for HCS right now?</t>
  </si>
  <si>
    <t>Recover old HCS client data (previous team used SF but no handover to new team)</t>
  </si>
  <si>
    <t>N/A — data would need to be imported from scratch.</t>
  </si>
  <si>
    <t>🎯 SF ADVANTAGE. Old HCS data is already in your SF org. Can Arkus recover/surface it for the new team? This is something Apricot literally cannot offer.</t>
  </si>
  <si>
    <t>User said meeting log key discussions were too short — needed the specific requirements HCS told Bonterra so he can ask Salesforce the same questions in the demo. Wants to use HCS's own requirements as the SF demo checklist.</t>
  </si>
  <si>
    <t>Expanded Meeting Log entries D6:E7 with full detail from both Apricot meetings. Built 15-item requirements comparison table on SF vs Apricot tab: column A = what HCS told Bonterra, column B = what Apricot said, column C = exact question to ask Salesforce.</t>
  </si>
  <si>
    <t>15 specific HCS requirements extracted from Apricot meeting notes: unified client record, field intake workflows, cross-program tracking, funder-ready reporting, custom fields w/o vendor, dashboards, HIPAA, SSO, client portal, returning client handling, crisis intake, reentry tracking, HMIS export, billing, old HCS data recovery. Each row has the Apricot answer and the SF question to ask.</t>
  </si>
  <si>
    <t>SF vs Apricot tab now has a complete 'bring this to the SF demo' checklist. User can print rows 101-117 or screen-share during the demo. Key SF advantages to probe: HMIS export (item 13) and old HCS data recovery (item 15). Key SF risk: custom field self-service (item 5).</t>
  </si>
  <si>
    <t>This week</t>
  </si>
  <si>
    <t>Arkus (SF implementation partner)</t>
  </si>
  <si>
    <t>(schedule this call BEFORE the SF demo)</t>
  </si>
  <si>
    <t>PREP: Ask Arkus:
• How many of 17 licenses are actively assigned?
• Does old HCS client data still exist in our org?
• Can HCS staff add custom fields themselves or do they always need you?
• What would it cost to build HCS intake/case mgmt workflows?
• Is our org HIPAA-compliant with a BAA?
• What are we currently paying Arkus annually? (or get from Finance)</t>
  </si>
  <si>
    <t>⭐ SCHEDULE NOW</t>
  </si>
  <si>
    <t>PREP — go in with Arkus answers already in hand:
• Does SF have HMIS automated export? (native or AppExchange)
• What's included in Nonprofit Cloud Unlimited for homeless services?
• Demo the 15 HCS requirements (see SF vs Apricot tab rows 101-117)
• Experience Cloud (client portal) — included or extra cost?
• What does Nonprofit Success Pack offer for case management?
• Can non-technical staff build reports and dashboards?</t>
  </si>
  <si>
    <t>User asked: should we talk to Arkus or Salesforce about the HCS requirements?</t>
  </si>
  <si>
    <t>Advised: talk to Arkus FIRST (they know your specific SF org), then Salesforce second (they know platform capabilities). Added Arkus call to Meeting Log as 'SCHEDULE NOW' with 6 specific questions. Updated SF demo prep to go in with Arkus answers already in hand.</t>
  </si>
  <si>
    <t>Rationale: Arkus can answer the make-or-break questions (license usage, old HCS data, build cost, self-service capability) because they know the actual org. SF demo should be informed by those answers. If Arkus says 'easy and cheap,' SF wins. If Arkus says 'hard and expensive,' Apricot case strengthens.</t>
  </si>
  <si>
    <t>Meeting Log now has 3 meetings to schedule/attend: (1) ATS Wed re: Meraki, (2) Arkus this week re: SF feasibility for HCS, (3) SF demo next week. Arkus call is the pivotal one.</t>
  </si>
  <si>
    <t>~$2,250-$3,750 per 4-mo contract (15 hrs). ~$7-11k annualized est.</t>
  </si>
  <si>
    <t>Arkus contract: 15 hrs / 4 months (Oct 2025 – Jan 2026). Helen Lim. CONTRACT EXPIRED 1/31/2026. Blew through Oct hours (4 quoted, 9 spent). Status of renewal unknown.</t>
  </si>
  <si>
    <t>ARKUS CONTRACT INTEL</t>
  </si>
  <si>
    <t>Implication</t>
  </si>
  <si>
    <t>Contract Period</t>
  </si>
  <si>
    <t>10/01/2025 – 01/31/2026 (4 months)</t>
  </si>
  <si>
    <t>⚠️ CONTRACT EXPIRED 1/31/2026. Has it been renewed? If not, no active SF admin support right now.</t>
  </si>
  <si>
    <t>Total Hours</t>
  </si>
  <si>
    <t>15 hours quoted for entire 4-month contract</t>
  </si>
  <si>
    <t>That's ~1 hr/week. Maintenance-only. NOT enough capacity to build new HCS workflows.</t>
  </si>
  <si>
    <t>Oct 2025 Burn</t>
  </si>
  <si>
    <t>Quoted 4 hrs, Spent 9 hrs (−5 over)</t>
  </si>
  <si>
    <t>Already over-budget in month 1. Suggests scope creep or underestimated work.</t>
  </si>
  <si>
    <t>Nov–Jan Hours</t>
  </si>
  <si>
    <t>11.5 hrs remaining, 0 spent (as of 10/24)</t>
  </si>
  <si>
    <t>Were these hours ever used? Or did contract stall after Oct? Check with Helen.</t>
  </si>
  <si>
    <t>Team Contact</t>
  </si>
  <si>
    <t>Helen Lim</t>
  </si>
  <si>
    <t>Your Arkus point of contact. She knows your org. Reach out to her directly.</t>
  </si>
  <si>
    <t>Estimated Cost</t>
  </si>
  <si>
    <t>~$2,250–$3,750 for 4-mo contract (at $150–250/hr)</t>
  </si>
  <si>
    <t>Annualized ~$7–11k. Modest. But 15 hrs is nowhere near enough to build HCS from scratch.</t>
  </si>
  <si>
    <t>Scope</t>
  </si>
  <si>
    <t>SF Config, Reports, Data Loading, Training, Custom Dev, Consulting, Requirements Gathering, Testing &amp; Deployment</t>
  </si>
  <si>
    <t>Scope is broad but hours are tiny. They CAN do the HCS work — question is how many more hours/$$.</t>
  </si>
  <si>
    <t>🎯 KEY QUESTION FOR ARKUS</t>
  </si>
  <si>
    <t>How many hours / $ to build HCS intake, case mgmt, and reporting workflows in our existing SF org?</t>
  </si>
  <si>
    <t>If 40–60 hrs ($6–15k one-time) → SF wins on cost. If 150+ hrs ($25k+) → Apricot looks better.</t>
  </si>
  <si>
    <t>🎯 ALSO ASK ARKUS</t>
  </si>
  <si>
    <t>Is contract renewed? What happened to unused Nov–Jan hours? Is Helen still our contact? Can HCS staff self-serve on custom fields?</t>
  </si>
  <si>
    <t>If Arkus engagement has lapsed, you need to re-engage before you can even assess the SF option.</t>
  </si>
  <si>
    <t>4. Arkus cost is small — but capacity is too</t>
  </si>
  <si>
    <t>Good news: Arkus is only ~$7–11k/yr — not the $30–50k I feared. SF total cost ($17k license + $9k Arkus = ~$26k/yr) is reasonable. Bad news: 15 hrs/4 months is maintenance-level. Building HCS workflows will require a NEW Arkus engagement with more hours. Get a quote for the HCS build specifically.</t>
  </si>
  <si>
    <t>~$7,000–11,000</t>
  </si>
  <si>
    <t>15 hrs/4-mo contract. Helen Lim. Needed either way. Contract EXPIRED 1/31/2026 — confirm renewal status.</t>
  </si>
  <si>
    <t>User shared Arkus service contract status report (PDF, Oct 24 2025). Contract: 10/01/2025-01/31/2026, 15 hours, Helen Lim. Oct burned 9 of 4 quoted hrs. Nov-Jan: 0 spent of 11.5 quoted. Contract expired 1/31/2026.</t>
  </si>
  <si>
    <t>Added Arkus contract analysis to SF vs Apricot tab: contract details, hours breakdown, cost estimate (~$7-11k annualized), and two key questions for Arkus call. Updated strategic implication #4 and TCO comparison with real Arkus cost data.</t>
  </si>
  <si>
    <t>Key findings: (1) Arkus engagement is tiny (15 hrs = ~1 hr/wk = maintenance only), (2) contract EXPIRED 1/31/2026 — may not have active support, (3) cost is modest (~$7-11k/yr) which strengthens SF cost story, (4) but 15 hrs is nowhere near enough to build HCS workflows — need new scoped engagement. Critical question for Arkus: how many hours to build HCS program?</t>
  </si>
  <si>
    <t>SF vs Apricot tab updated with Arkus contract intel. The contract expiry is a potential problem — if Arkus isn't active, nobody is managing SF. User needs to reach out to Helen Lim to confirm status and get a quote for HCS build-out.</t>
  </si>
  <si>
    <t>User asked how to check what dashboards/templates exist in SF for each department, since he's admin and suspects old HCS team's build may already be there.</t>
  </si>
  <si>
    <t>Provided step-by-step SF admin guide: how to check Dashboards (All Dashboards), Reports (All Reports), App Manager, Object Manager (custom objects), Users (deactivated HCS accounts), Profiles, Installed Packages. No spreadsheet changes.</t>
  </si>
  <si>
    <t>Key areas to check: (1) Dashboard folders for HCS-related dashboards, (2) Object Manager for custom objects like Intake/Assessment/Enrollment, (3) App Manager for an HCS app, (4) Users for deactivated HCS accounts with reassignable licenses, (5) Installed Packages for NPSP. If HCS build already exists, the entire Apricot conversation changes.</t>
  </si>
  <si>
    <t>Awaiting user's findings from SF admin exploration. If HCS templates/objects already exist, the recommendation likely shifts firmly to SF — it becomes a re-onboarding project, not a build-from-scratch project.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</si>
</sst>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164" formatCode="&quot;$&quot;#,##0.00"/>
  </numFmts>
  <fonts count="23" x14ac:knownFonts="1">
    <font>
      <sz val="11"/>
      <color theme="1"/>
      <name val="Aptos Narrow"/>
      <family val="2"/>
      <scheme val="minor"/>
    </font>
    <font>
      <b/>
      <sz val="11"/>
      <color theme="1"/>
      <name val="Aptos Narrow"/>
      <family val="2"/>
      <scheme val="minor"/>
    </font>
    <font>
      <b/>
      <sz val="11"/>
      <color rgb="FFFFFFFF"/>
      <name val="Aptos Narrow"/>
      <family val="2"/>
      <scheme val="minor"/>
    </font>
    <font>
      <b/>
      <sz val="14"/>
      <color rgb="FF1F4E79"/>
      <name val="Aptos Narrow"/>
      <family val="2"/>
      <scheme val="minor"/>
    </font>
    <font>
      <i/>
      <sz val="9"/>
      <color rgb="FF4472C4"/>
      <name val="Aptos Narrow"/>
      <family val="2"/>
      <scheme val="minor"/>
    </font>
    <font>
      <sz val="11"/>
      <color rgb="FFC00000"/>
      <name val="Aptos Narrow"/>
      <family val="2"/>
      <scheme val="minor"/>
    </font>
    <font>
      <b/>
      <sz val="11"/>
      <color rgb="FFC00000"/>
      <name val="Aptos Narrow"/>
      <family val="2"/>
      <scheme val="minor"/>
    </font>
    <font>
      <sz val="11"/>
      <color rgb="FFBF8F00"/>
      <name val="Aptos Narrow"/>
      <family val="2"/>
      <scheme val="minor"/>
    </font>
    <font>
      <b/>
      <sz val="11"/>
      <color rgb="FFBF8F00"/>
      <name val="Aptos Narrow"/>
      <family val="2"/>
      <scheme val="minor"/>
    </font>
    <font>
      <b/>
      <sz val="11"/>
      <color rgb="FF375623"/>
      <name val="Aptos Narrow"/>
      <family val="2"/>
      <scheme val="minor"/>
    </font>
    <font>
      <b/>
      <sz val="11"/>
      <color rgb="FF1F4E79"/>
      <name val="Aptos Narrow"/>
      <family val="2"/>
      <scheme val="minor"/>
    </font>
    <font>
      <b/>
      <sz val="11"/>
      <color rgb="FF806000"/>
      <name val="Aptos Narrow"/>
      <family val="2"/>
      <scheme val="minor"/>
    </font>
    <font>
      <b/>
      <sz val="11"/>
      <color rgb="FFC65911"/>
      <name val="Aptos Narrow"/>
      <family val="2"/>
      <scheme val="minor"/>
    </font>
    <font>
      <sz val="11"/>
      <color rgb="FF7030A0"/>
      <name val="Aptos Narrow"/>
      <family val="2"/>
      <scheme val="minor"/>
    </font>
    <font>
      <b/>
      <sz val="11"/>
      <color rgb="FF7030A0"/>
      <name val="Aptos Narrow"/>
      <family val="2"/>
      <scheme val="minor"/>
    </font>
    <font>
      <b/>
      <i/>
      <sz val="10"/>
      <color rgb="FFC00000"/>
      <name val="Aptos Narrow"/>
      <family val="2"/>
      <scheme val="minor"/>
    </font>
    <font>
      <b/>
      <sz val="12"/>
      <color theme="1"/>
      <name val="Aptos Narrow"/>
      <family val="2"/>
      <scheme val="minor"/>
    </font>
    <font>
      <sz val="12"/>
      <color theme="1"/>
      <name val="Aptos Narrow"/>
      <family val="2"/>
      <scheme val="minor"/>
    </font>
    <font>
      <i/>
      <sz val="11"/>
      <color theme="1"/>
      <name val="Aptos Narrow"/>
      <family val="2"/>
      <scheme val="minor"/>
    </font>
    <font>
      <sz val="11"/>
      <color rgb="FF548235"/>
      <name val="Aptos Narrow"/>
      <family val="2"/>
      <scheme val="minor"/>
    </font>
    <font>
      <b/>
      <sz val="11"/>
      <color rgb="FF548235"/>
      <name val="Aptos Narrow"/>
      <family val="2"/>
      <scheme val="minor"/>
    </font>
    <font>
      <i/>
      <sz val="11"/>
      <color rgb="FF808080"/>
      <name val="Aptos Narrow"/>
      <family val="2"/>
      <scheme val="minor"/>
    </font>
    <font>
      <sz val="11"/>
      <color rgb="FF000000"/>
      <name val="Aptos Narrow"/>
      <family val="2"/>
      <scheme val="minor"/>
    </font>
  </fonts>
  <fills count="16">
    <fill>
      <patternFill patternType="none"/>
    </fill>
    <fill>
      <patternFill patternType="gray125"/>
    </fill>
    <fill>
      <patternFill patternType="solid">
        <fgColor rgb="FF4472C4"/>
        <bgColor indexed="64"/>
      </patternFill>
    </fill>
    <fill>
      <patternFill patternType="solid">
        <fgColor rgb="FFD6E4F0"/>
        <bgColor indexed="64"/>
      </patternFill>
    </fill>
    <fill>
      <patternFill patternType="solid">
        <fgColor rgb="FFF2F2F2"/>
        <bgColor indexed="64"/>
      </patternFill>
    </fill>
    <fill>
      <patternFill patternType="solid">
        <fgColor rgb="FF2F5496"/>
        <bgColor indexed="64"/>
      </patternFill>
    </fill>
    <fill>
      <patternFill patternType="solid">
        <fgColor rgb="FFFFF2CC"/>
        <bgColor indexed="64"/>
      </patternFill>
    </fill>
    <fill>
      <patternFill patternType="solid">
        <fgColor rgb="FFFCE4D6"/>
        <bgColor indexed="64"/>
      </patternFill>
    </fill>
    <fill>
      <patternFill patternType="solid">
        <fgColor rgb="FFE2EFDA"/>
        <bgColor indexed="64"/>
      </patternFill>
    </fill>
    <fill>
      <patternFill patternType="solid">
        <fgColor rgb="FFC00000"/>
        <bgColor indexed="64"/>
      </patternFill>
    </fill>
    <fill>
      <patternFill patternType="solid">
        <fgColor rgb="FFF2DCDB"/>
        <bgColor indexed="64"/>
      </patternFill>
    </fill>
    <fill>
      <patternFill patternType="solid">
        <fgColor rgb="FF548235"/>
        <bgColor indexed="64"/>
      </patternFill>
    </fill>
    <fill>
      <patternFill patternType="solid">
        <fgColor rgb="FF7030A0"/>
        <bgColor indexed="64"/>
      </patternFill>
    </fill>
    <fill>
      <patternFill patternType="solid">
        <fgColor rgb="FFE2D9F3"/>
        <bgColor indexed="64"/>
      </patternFill>
    </fill>
    <fill>
      <patternFill patternType="solid">
        <fgColor rgb="FFFFFF00"/>
        <bgColor indexed="64"/>
      </patternFill>
    </fill>
    <fill>
      <patternFill patternType="solid">
        <fgColor rgb="FF2E75B6"/>
        <bgColor indexed="64"/>
      </patternFill>
    </fill>
  </fills>
  <borders count="19">
    <border>
      <left/>
      <right/>
      <top/>
      <bottom/>
      <diagonal/>
    </border>
    <border>
      <left/>
      <right style="thin">
        <color rgb="FFD9D9D9"/>
      </right>
      <top/>
      <bottom style="thin">
        <color rgb="FFD9D9D9"/>
      </bottom>
      <diagonal/>
    </border>
    <border>
      <left style="thin">
        <color rgb="FFD9D9D9"/>
      </left>
      <right style="thin">
        <color rgb="FFD9D9D9"/>
      </right>
      <top/>
      <bottom style="thin">
        <color rgb="FFD9D9D9"/>
      </bottom>
      <diagonal/>
    </border>
    <border>
      <left style="thin">
        <color rgb="FFD9D9D9"/>
      </left>
      <right/>
      <top/>
      <bottom style="thin">
        <color rgb="FFD9D9D9"/>
      </bottom>
      <diagonal/>
    </border>
    <border>
      <left/>
      <right style="thin">
        <color rgb="FFD9D9D9"/>
      </right>
      <top style="thin">
        <color rgb="FFD9D9D9"/>
      </top>
      <bottom style="thin">
        <color rgb="FFD9D9D9"/>
      </bottom>
      <diagonal/>
    </border>
    <border>
      <left style="thin">
        <color rgb="FFD9D9D9"/>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style="thin">
        <color rgb="FFD9D9D9"/>
      </right>
      <top style="thin">
        <color rgb="FFD9D9D9"/>
      </top>
      <bottom/>
      <diagonal/>
    </border>
    <border>
      <left style="thin">
        <color rgb="FFD9D9D9"/>
      </left>
      <right style="thin">
        <color rgb="FFD9D9D9"/>
      </right>
      <top style="thin">
        <color rgb="FFD9D9D9"/>
      </top>
      <bottom/>
      <diagonal/>
    </border>
    <border>
      <left style="thin">
        <color rgb="FFD9D9D9"/>
      </left>
      <right/>
      <top style="thin">
        <color rgb="FFD9D9D9"/>
      </top>
      <bottom/>
      <diagonal/>
    </border>
    <border>
      <left/>
      <right style="thin">
        <color rgb="FFD9D9D9"/>
      </right>
      <top style="thin">
        <color rgb="FFD9D9D9"/>
      </top>
      <bottom style="thin">
        <color auto="1"/>
      </bottom>
      <diagonal/>
    </border>
    <border>
      <left style="thin">
        <color rgb="FFD9D9D9"/>
      </left>
      <right style="thin">
        <color rgb="FFD9D9D9"/>
      </right>
      <top style="thin">
        <color rgb="FFD9D9D9"/>
      </top>
      <bottom style="thin">
        <color auto="1"/>
      </bottom>
      <diagonal/>
    </border>
    <border>
      <left style="thin">
        <color rgb="FFD9D9D9"/>
      </left>
      <right/>
      <top style="thin">
        <color rgb="FFD9D9D9"/>
      </top>
      <bottom style="thin">
        <color auto="1"/>
      </bottom>
      <diagonal/>
    </border>
    <border>
      <left/>
      <right style="thin">
        <color rgb="FFD9D9D9"/>
      </right>
      <top style="thin">
        <color auto="1"/>
      </top>
      <bottom style="thin">
        <color rgb="FFD9D9D9"/>
      </bottom>
      <diagonal/>
    </border>
    <border>
      <left style="thin">
        <color rgb="FFD9D9D9"/>
      </left>
      <right style="thin">
        <color rgb="FFD9D9D9"/>
      </right>
      <top style="thin">
        <color auto="1"/>
      </top>
      <bottom style="thin">
        <color rgb="FFD9D9D9"/>
      </bottom>
      <diagonal/>
    </border>
    <border>
      <left style="thin">
        <color rgb="FFD9D9D9"/>
      </left>
      <right/>
      <top style="thin">
        <color auto="1"/>
      </top>
      <bottom style="thin">
        <color rgb="FFD9D9D9"/>
      </bottom>
      <diagonal/>
    </border>
    <border>
      <left/>
      <right style="thin">
        <color rgb="FFD9D9D9"/>
      </right>
      <top/>
      <bottom/>
      <diagonal/>
    </border>
    <border>
      <left style="thin">
        <color rgb="FFD9D9D9"/>
      </left>
      <right style="thin">
        <color rgb="FFD9D9D9"/>
      </right>
      <top/>
      <bottom/>
      <diagonal/>
    </border>
    <border>
      <left style="thin">
        <color rgb="FFD9D9D9"/>
      </left>
      <right/>
      <top/>
      <bottom/>
      <diagonal/>
    </border>
  </borders>
  <cellStyleXfs count="1">
    <xf numFmtId="0" fontId="0" fillId="0" borderId="0"/>
  </cellStyleXfs>
  <cellXfs count="162">
    <xf numFmtId="0" fontId="0" fillId="0" borderId="0" xfId="0"/>
    <xf numFmtId="0" fontId="2" fillId="2" borderId="0" xfId="0" applyFont="1" applyFill="1"/>
    <xf numFmtId="0" fontId="0" fillId="0" borderId="0" xfId="0" applyAlignment="1">
      <alignment vertical="top" wrapText="1"/>
    </xf>
    <xf numFmtId="14" fontId="0" fillId="0" borderId="0" xfId="0" applyNumberFormat="1" applyAlignment="1">
      <alignment vertical="top" wrapText="1"/>
    </xf>
    <xf numFmtId="0" fontId="3" fillId="3" borderId="0" xfId="0" applyFont="1" applyFill="1"/>
    <xf numFmtId="0" fontId="0" fillId="3" borderId="0" xfId="0" applyFill="1"/>
    <xf numFmtId="0" fontId="4" fillId="4" borderId="0" xfId="0" applyFont="1" applyFill="1"/>
    <xf numFmtId="0" fontId="0" fillId="4" borderId="0" xfId="0" applyFill="1"/>
    <xf numFmtId="0" fontId="2" fillId="5" borderId="0" xfId="0" applyFont="1" applyFill="1"/>
    <xf numFmtId="0" fontId="0" fillId="5" borderId="0" xfId="0" applyFill="1"/>
    <xf numFmtId="0" fontId="0" fillId="7" borderId="0" xfId="0" applyFill="1"/>
    <xf numFmtId="0" fontId="0" fillId="9" borderId="0" xfId="0" applyFill="1"/>
    <xf numFmtId="0" fontId="15" fillId="7" borderId="0" xfId="0" applyFont="1" applyFill="1"/>
    <xf numFmtId="0" fontId="1" fillId="0" borderId="0" xfId="0" applyFont="1" applyAlignment="1">
      <alignment vertical="top" wrapText="1"/>
    </xf>
    <xf numFmtId="0" fontId="0" fillId="6" borderId="0" xfId="0" applyFill="1" applyAlignment="1">
      <alignment vertical="top" wrapText="1"/>
    </xf>
    <xf numFmtId="0" fontId="6" fillId="0" borderId="0" xfId="0" applyFont="1" applyAlignment="1">
      <alignment vertical="top" wrapText="1"/>
    </xf>
    <xf numFmtId="0" fontId="0" fillId="7" borderId="0" xfId="0" applyFill="1" applyAlignment="1">
      <alignment vertical="top" wrapText="1"/>
    </xf>
    <xf numFmtId="0" fontId="2" fillId="9" borderId="0" xfId="0" applyFont="1" applyFill="1" applyAlignment="1">
      <alignment vertical="top" wrapText="1"/>
    </xf>
    <xf numFmtId="0" fontId="0" fillId="9" borderId="0" xfId="0" applyFill="1" applyAlignment="1">
      <alignment vertical="top" wrapText="1"/>
    </xf>
    <xf numFmtId="0" fontId="5" fillId="0" borderId="0" xfId="0" applyFont="1" applyAlignment="1">
      <alignment vertical="top" wrapText="1"/>
    </xf>
    <xf numFmtId="0" fontId="2" fillId="11" borderId="0" xfId="0" applyFont="1" applyFill="1" applyAlignment="1">
      <alignment vertical="top" wrapText="1"/>
    </xf>
    <xf numFmtId="0" fontId="0" fillId="11" borderId="0" xfId="0" applyFill="1" applyAlignment="1">
      <alignment vertical="top" wrapText="1"/>
    </xf>
    <xf numFmtId="0" fontId="2" fillId="5" borderId="0" xfId="0" applyFont="1" applyFill="1" applyAlignment="1">
      <alignment vertical="top" wrapText="1"/>
    </xf>
    <xf numFmtId="0" fontId="1" fillId="6" borderId="0" xfId="0" applyFont="1" applyFill="1" applyAlignment="1">
      <alignment vertical="top" wrapText="1"/>
    </xf>
    <xf numFmtId="0" fontId="2" fillId="12" borderId="0" xfId="0" applyFont="1" applyFill="1" applyAlignment="1">
      <alignment vertical="top" wrapText="1"/>
    </xf>
    <xf numFmtId="0" fontId="0" fillId="12" borderId="0" xfId="0" applyFill="1" applyAlignment="1">
      <alignment vertical="top" wrapText="1"/>
    </xf>
    <xf numFmtId="0" fontId="1" fillId="13" borderId="0" xfId="0" applyFont="1" applyFill="1" applyAlignment="1">
      <alignment vertical="top" wrapText="1"/>
    </xf>
    <xf numFmtId="0" fontId="14" fillId="0" borderId="0" xfId="0" applyFont="1" applyAlignment="1">
      <alignment vertical="top" wrapText="1"/>
    </xf>
    <xf numFmtId="0" fontId="14" fillId="13" borderId="0" xfId="0" applyFont="1" applyFill="1" applyAlignment="1">
      <alignment vertical="top" wrapText="1"/>
    </xf>
    <xf numFmtId="0" fontId="1" fillId="13" borderId="0" xfId="0" applyFont="1" applyFill="1" applyAlignment="1">
      <alignment horizontal="center" vertical="top" wrapText="1"/>
    </xf>
    <xf numFmtId="0" fontId="1" fillId="14" borderId="0" xfId="0" applyFont="1" applyFill="1" applyAlignment="1">
      <alignment vertical="top" wrapText="1"/>
    </xf>
    <xf numFmtId="0" fontId="0" fillId="14" borderId="0" xfId="0" applyFill="1" applyAlignment="1">
      <alignment vertical="top" wrapText="1"/>
    </xf>
    <xf numFmtId="0" fontId="0" fillId="6" borderId="0" xfId="0" applyFill="1" applyAlignment="1">
      <alignment horizontal="center" vertical="top" wrapText="1"/>
    </xf>
    <xf numFmtId="0" fontId="16" fillId="0" borderId="0" xfId="0" applyFont="1" applyAlignment="1">
      <alignment horizontal="center" vertical="top" wrapText="1"/>
    </xf>
    <xf numFmtId="0" fontId="17" fillId="0" borderId="0" xfId="0" applyFont="1" applyAlignment="1">
      <alignment horizontal="center" vertical="top" wrapText="1"/>
    </xf>
    <xf numFmtId="0" fontId="1" fillId="0" borderId="4" xfId="0" applyFont="1" applyBorder="1" applyAlignment="1">
      <alignment vertical="top" wrapText="1"/>
    </xf>
    <xf numFmtId="0" fontId="0" fillId="6" borderId="5" xfId="0" applyFill="1" applyBorder="1" applyAlignment="1">
      <alignment vertical="top" wrapText="1"/>
    </xf>
    <xf numFmtId="0" fontId="0" fillId="0" borderId="5" xfId="0" applyBorder="1" applyAlignment="1">
      <alignment vertical="top" wrapText="1"/>
    </xf>
    <xf numFmtId="0" fontId="6" fillId="0" borderId="5" xfId="0" applyFont="1" applyBorder="1" applyAlignment="1">
      <alignment vertical="top" wrapText="1"/>
    </xf>
    <xf numFmtId="0" fontId="0" fillId="0" borderId="6" xfId="0" applyBorder="1" applyAlignment="1">
      <alignment vertical="top" wrapText="1"/>
    </xf>
    <xf numFmtId="0" fontId="0" fillId="7" borderId="5" xfId="0" applyFill="1" applyBorder="1" applyAlignment="1">
      <alignment vertical="top" wrapText="1"/>
    </xf>
    <xf numFmtId="0" fontId="1" fillId="0" borderId="7" xfId="0" applyFont="1" applyBorder="1" applyAlignment="1">
      <alignment vertical="top" wrapText="1"/>
    </xf>
    <xf numFmtId="0" fontId="0" fillId="0" borderId="8" xfId="0" applyBorder="1" applyAlignment="1">
      <alignment vertical="top" wrapText="1"/>
    </xf>
    <xf numFmtId="0" fontId="0" fillId="0" borderId="9" xfId="0" applyBorder="1" applyAlignment="1">
      <alignment vertical="top" wrapText="1"/>
    </xf>
    <xf numFmtId="0" fontId="1" fillId="0" borderId="10" xfId="0" applyFont="1" applyBorder="1" applyAlignment="1">
      <alignment vertical="top" wrapText="1"/>
    </xf>
    <xf numFmtId="0" fontId="0" fillId="8" borderId="11" xfId="0" applyFill="1" applyBorder="1" applyAlignment="1">
      <alignment vertical="top" wrapText="1"/>
    </xf>
    <xf numFmtId="0" fontId="0" fillId="0" borderId="11" xfId="0" applyBorder="1" applyAlignment="1">
      <alignment vertical="top" wrapText="1"/>
    </xf>
    <xf numFmtId="0" fontId="0" fillId="0" borderId="12" xfId="0" applyBorder="1" applyAlignment="1">
      <alignment vertical="top" wrapText="1"/>
    </xf>
    <xf numFmtId="0" fontId="1" fillId="3" borderId="13" xfId="0" applyFont="1" applyFill="1" applyBorder="1" applyAlignment="1">
      <alignment horizontal="center" vertical="top" wrapText="1"/>
    </xf>
    <xf numFmtId="0" fontId="1" fillId="3" borderId="14" xfId="0" applyFont="1" applyFill="1" applyBorder="1" applyAlignment="1">
      <alignment horizontal="center" vertical="top" wrapText="1"/>
    </xf>
    <xf numFmtId="0" fontId="1" fillId="3" borderId="15" xfId="0" applyFont="1" applyFill="1" applyBorder="1" applyAlignment="1">
      <alignment horizontal="center" vertical="top" wrapText="1"/>
    </xf>
    <xf numFmtId="0" fontId="1" fillId="10" borderId="1" xfId="0" applyFont="1" applyFill="1" applyBorder="1" applyAlignment="1">
      <alignment horizontal="center" vertical="top" wrapText="1"/>
    </xf>
    <xf numFmtId="0" fontId="1" fillId="10" borderId="2" xfId="0" applyFont="1" applyFill="1" applyBorder="1" applyAlignment="1">
      <alignment vertical="top" wrapText="1"/>
    </xf>
    <xf numFmtId="0" fontId="1" fillId="10" borderId="2" xfId="0" applyFont="1" applyFill="1" applyBorder="1" applyAlignment="1">
      <alignment horizontal="center" vertical="top" wrapText="1"/>
    </xf>
    <xf numFmtId="0" fontId="1" fillId="10" borderId="3" xfId="0" applyFont="1" applyFill="1" applyBorder="1" applyAlignment="1">
      <alignment horizontal="center" vertical="top" wrapText="1"/>
    </xf>
    <xf numFmtId="0" fontId="0" fillId="0" borderId="4" xfId="0" applyBorder="1" applyAlignment="1">
      <alignment horizontal="center" vertical="top" wrapText="1"/>
    </xf>
    <xf numFmtId="0" fontId="6" fillId="0" borderId="5" xfId="0" applyFont="1" applyBorder="1" applyAlignment="1">
      <alignment horizontal="center" vertical="top" wrapText="1"/>
    </xf>
    <xf numFmtId="0" fontId="5" fillId="0" borderId="6" xfId="0" applyFont="1" applyBorder="1" applyAlignment="1">
      <alignment vertical="top" wrapText="1"/>
    </xf>
    <xf numFmtId="0" fontId="7" fillId="0" borderId="5" xfId="0" applyFont="1" applyBorder="1" applyAlignment="1">
      <alignment horizontal="center" vertical="top" wrapText="1"/>
    </xf>
    <xf numFmtId="0" fontId="0" fillId="0" borderId="7" xfId="0" applyBorder="1" applyAlignment="1">
      <alignment horizontal="center" vertical="top" wrapText="1"/>
    </xf>
    <xf numFmtId="0" fontId="7" fillId="0" borderId="8" xfId="0" applyFont="1" applyBorder="1" applyAlignment="1">
      <alignment horizontal="center" vertical="top" wrapText="1"/>
    </xf>
    <xf numFmtId="0" fontId="5" fillId="0" borderId="9" xfId="0" applyFont="1" applyBorder="1" applyAlignment="1">
      <alignment vertical="top" wrapText="1"/>
    </xf>
    <xf numFmtId="0" fontId="1" fillId="8" borderId="1" xfId="0" applyFont="1" applyFill="1" applyBorder="1" applyAlignment="1">
      <alignment horizontal="center" vertical="top" wrapText="1"/>
    </xf>
    <xf numFmtId="0" fontId="1" fillId="8" borderId="2" xfId="0" applyFont="1" applyFill="1" applyBorder="1" applyAlignment="1">
      <alignment horizontal="center" vertical="top" wrapText="1"/>
    </xf>
    <xf numFmtId="0" fontId="8" fillId="8" borderId="2" xfId="0" applyFont="1" applyFill="1" applyBorder="1" applyAlignment="1">
      <alignment horizontal="center" vertical="top" wrapText="1"/>
    </xf>
    <xf numFmtId="0" fontId="1" fillId="8" borderId="3" xfId="0" applyFont="1" applyFill="1" applyBorder="1" applyAlignment="1">
      <alignment vertical="top" wrapText="1"/>
    </xf>
    <xf numFmtId="0" fontId="2" fillId="5" borderId="1" xfId="0" applyFont="1" applyFill="1" applyBorder="1" applyAlignment="1">
      <alignment horizontal="center" vertical="top" wrapText="1"/>
    </xf>
    <xf numFmtId="0" fontId="2" fillId="5" borderId="2" xfId="0" applyFont="1" applyFill="1" applyBorder="1" applyAlignment="1">
      <alignment vertical="top" wrapText="1"/>
    </xf>
    <xf numFmtId="0" fontId="2" fillId="5" borderId="2" xfId="0" applyFont="1" applyFill="1" applyBorder="1" applyAlignment="1">
      <alignment horizontal="center" vertical="top" wrapText="1"/>
    </xf>
    <xf numFmtId="0" fontId="2" fillId="5" borderId="3" xfId="0" applyFont="1" applyFill="1" applyBorder="1" applyAlignment="1">
      <alignment horizontal="center" vertical="top" wrapText="1"/>
    </xf>
    <xf numFmtId="0" fontId="1" fillId="8" borderId="4" xfId="0" applyFont="1" applyFill="1" applyBorder="1" applyAlignment="1">
      <alignment vertical="top" wrapText="1"/>
    </xf>
    <xf numFmtId="0" fontId="9" fillId="8" borderId="5" xfId="0" applyFont="1" applyFill="1" applyBorder="1" applyAlignment="1">
      <alignment vertical="top" wrapText="1"/>
    </xf>
    <xf numFmtId="0" fontId="0" fillId="8" borderId="5" xfId="0" applyFill="1" applyBorder="1" applyAlignment="1">
      <alignment vertical="top" wrapText="1"/>
    </xf>
    <xf numFmtId="0" fontId="0" fillId="8" borderId="6" xfId="0" applyFill="1" applyBorder="1" applyAlignment="1">
      <alignment vertical="top" wrapText="1"/>
    </xf>
    <xf numFmtId="0" fontId="5" fillId="0" borderId="5" xfId="0" applyFont="1" applyBorder="1" applyAlignment="1">
      <alignment vertical="top" wrapText="1"/>
    </xf>
    <xf numFmtId="0" fontId="7" fillId="0" borderId="5" xfId="0" applyFont="1" applyBorder="1" applyAlignment="1">
      <alignment vertical="top" wrapText="1"/>
    </xf>
    <xf numFmtId="0" fontId="1" fillId="3" borderId="4" xfId="0" applyFont="1" applyFill="1" applyBorder="1" applyAlignment="1">
      <alignment vertical="top" wrapText="1"/>
    </xf>
    <xf numFmtId="0" fontId="10" fillId="3" borderId="5" xfId="0" applyFont="1" applyFill="1" applyBorder="1" applyAlignment="1">
      <alignment vertical="top" wrapText="1"/>
    </xf>
    <xf numFmtId="0" fontId="0" fillId="3" borderId="5" xfId="0" applyFill="1" applyBorder="1" applyAlignment="1">
      <alignment vertical="top" wrapText="1"/>
    </xf>
    <xf numFmtId="0" fontId="0" fillId="3" borderId="6" xfId="0" applyFill="1" applyBorder="1" applyAlignment="1">
      <alignment vertical="top" wrapText="1"/>
    </xf>
    <xf numFmtId="0" fontId="1" fillId="6" borderId="4" xfId="0" applyFont="1" applyFill="1" applyBorder="1" applyAlignment="1">
      <alignment vertical="top" wrapText="1"/>
    </xf>
    <xf numFmtId="0" fontId="11" fillId="6" borderId="5" xfId="0" applyFont="1" applyFill="1" applyBorder="1" applyAlignment="1">
      <alignment vertical="top" wrapText="1"/>
    </xf>
    <xf numFmtId="0" fontId="0" fillId="6" borderId="6" xfId="0" applyFill="1" applyBorder="1" applyAlignment="1">
      <alignment vertical="top" wrapText="1"/>
    </xf>
    <xf numFmtId="0" fontId="1" fillId="7" borderId="4" xfId="0" applyFont="1" applyFill="1" applyBorder="1" applyAlignment="1">
      <alignment vertical="top" wrapText="1"/>
    </xf>
    <xf numFmtId="0" fontId="12" fillId="7" borderId="5" xfId="0" applyFont="1" applyFill="1" applyBorder="1" applyAlignment="1">
      <alignment vertical="top" wrapText="1"/>
    </xf>
    <xf numFmtId="0" fontId="0" fillId="7" borderId="6" xfId="0" applyFill="1" applyBorder="1" applyAlignment="1">
      <alignment vertical="top" wrapText="1"/>
    </xf>
    <xf numFmtId="0" fontId="2" fillId="9" borderId="1" xfId="0" applyFont="1" applyFill="1" applyBorder="1" applyAlignment="1">
      <alignment vertical="top" wrapText="1"/>
    </xf>
    <xf numFmtId="0" fontId="2" fillId="9" borderId="2" xfId="0" applyFont="1" applyFill="1" applyBorder="1" applyAlignment="1">
      <alignment vertical="top" wrapText="1"/>
    </xf>
    <xf numFmtId="0" fontId="2" fillId="9" borderId="2" xfId="0" applyFont="1" applyFill="1" applyBorder="1" applyAlignment="1">
      <alignment horizontal="center" vertical="top" wrapText="1"/>
    </xf>
    <xf numFmtId="0" fontId="2" fillId="9" borderId="3" xfId="0" applyFont="1" applyFill="1" applyBorder="1" applyAlignment="1">
      <alignment horizontal="center" vertical="top" wrapText="1"/>
    </xf>
    <xf numFmtId="0" fontId="0" fillId="6" borderId="5" xfId="0" applyFill="1" applyBorder="1" applyAlignment="1">
      <alignment horizontal="center" vertical="top" wrapText="1"/>
    </xf>
    <xf numFmtId="0" fontId="1" fillId="7" borderId="5" xfId="0" applyFont="1" applyFill="1" applyBorder="1" applyAlignment="1">
      <alignment horizontal="center" vertical="top" wrapText="1"/>
    </xf>
    <xf numFmtId="0" fontId="0" fillId="0" borderId="5" xfId="0" applyBorder="1" applyAlignment="1">
      <alignment horizontal="center" vertical="top" wrapText="1"/>
    </xf>
    <xf numFmtId="0" fontId="0" fillId="7" borderId="5" xfId="0" applyFill="1" applyBorder="1" applyAlignment="1">
      <alignment horizontal="center" vertical="top" wrapText="1"/>
    </xf>
    <xf numFmtId="0" fontId="0" fillId="7" borderId="11" xfId="0" applyFill="1" applyBorder="1" applyAlignment="1">
      <alignment horizontal="center" vertical="top" wrapText="1"/>
    </xf>
    <xf numFmtId="0" fontId="0" fillId="0" borderId="11" xfId="0" applyBorder="1" applyAlignment="1">
      <alignment horizontal="center" vertical="top" wrapText="1"/>
    </xf>
    <xf numFmtId="0" fontId="6" fillId="0" borderId="11" xfId="0" applyFont="1" applyBorder="1" applyAlignment="1">
      <alignment horizontal="center" vertical="top" wrapText="1"/>
    </xf>
    <xf numFmtId="14" fontId="0" fillId="0" borderId="7" xfId="0" applyNumberFormat="1" applyBorder="1" applyAlignment="1">
      <alignment vertical="top" wrapText="1"/>
    </xf>
    <xf numFmtId="0" fontId="13" fillId="0" borderId="0" xfId="0" applyFont="1" applyAlignment="1">
      <alignment vertical="top" wrapText="1"/>
    </xf>
    <xf numFmtId="16" fontId="1" fillId="0" borderId="0" xfId="0" applyNumberFormat="1" applyFont="1" applyAlignment="1">
      <alignment vertical="top" wrapText="1"/>
    </xf>
    <xf numFmtId="0" fontId="6" fillId="14" borderId="0" xfId="0" applyFont="1" applyFill="1" applyAlignment="1">
      <alignment vertical="top" wrapText="1"/>
    </xf>
    <xf numFmtId="0" fontId="6" fillId="7" borderId="0" xfId="0" applyFont="1" applyFill="1" applyAlignment="1">
      <alignment vertical="top" wrapText="1"/>
    </xf>
    <xf numFmtId="0" fontId="1" fillId="0" borderId="5" xfId="0" applyFont="1" applyBorder="1" applyAlignment="1">
      <alignment vertical="top" wrapText="1"/>
    </xf>
    <xf numFmtId="0" fontId="1" fillId="7" borderId="5" xfId="0" applyFont="1" applyFill="1" applyBorder="1" applyAlignment="1">
      <alignment vertical="top" wrapText="1"/>
    </xf>
    <xf numFmtId="0" fontId="2" fillId="15" borderId="0" xfId="0" applyFont="1" applyFill="1" applyAlignment="1">
      <alignment vertical="top" wrapText="1"/>
    </xf>
    <xf numFmtId="0" fontId="0" fillId="15" borderId="0" xfId="0" applyFill="1"/>
    <xf numFmtId="0" fontId="0" fillId="15" borderId="0" xfId="0" applyFill="1" applyAlignment="1">
      <alignment vertical="top" wrapText="1"/>
    </xf>
    <xf numFmtId="0" fontId="1" fillId="3" borderId="1" xfId="0" applyFont="1" applyFill="1" applyBorder="1" applyAlignment="1">
      <alignment vertical="top" wrapText="1"/>
    </xf>
    <xf numFmtId="0" fontId="1" fillId="3" borderId="2" xfId="0" applyFont="1" applyFill="1" applyBorder="1" applyAlignment="1">
      <alignment vertical="top" wrapText="1"/>
    </xf>
    <xf numFmtId="0" fontId="1" fillId="3" borderId="3" xfId="0" applyFont="1" applyFill="1" applyBorder="1" applyAlignment="1">
      <alignment horizontal="right" vertical="top" wrapText="1"/>
    </xf>
    <xf numFmtId="0" fontId="0" fillId="0" borderId="4" xfId="0" applyBorder="1" applyAlignment="1">
      <alignment vertical="top" wrapText="1"/>
    </xf>
    <xf numFmtId="164" fontId="0" fillId="0" borderId="6" xfId="0" applyNumberFormat="1" applyBorder="1" applyAlignment="1">
      <alignment horizontal="right" vertical="top" wrapText="1"/>
    </xf>
    <xf numFmtId="0" fontId="1" fillId="3" borderId="5" xfId="0" applyFont="1" applyFill="1" applyBorder="1" applyAlignment="1">
      <alignment vertical="top" wrapText="1"/>
    </xf>
    <xf numFmtId="164" fontId="1" fillId="3" borderId="6" xfId="0" applyNumberFormat="1" applyFont="1" applyFill="1" applyBorder="1" applyAlignment="1">
      <alignment horizontal="right" vertical="top" wrapText="1"/>
    </xf>
    <xf numFmtId="0" fontId="18" fillId="0" borderId="4" xfId="0" applyFont="1" applyBorder="1" applyAlignment="1">
      <alignment vertical="top" wrapText="1"/>
    </xf>
    <xf numFmtId="164" fontId="18" fillId="0" borderId="6" xfId="0" applyNumberFormat="1" applyFont="1" applyBorder="1" applyAlignment="1">
      <alignment horizontal="right" vertical="top" wrapText="1"/>
    </xf>
    <xf numFmtId="0" fontId="5" fillId="0" borderId="8" xfId="0" applyFont="1" applyBorder="1" applyAlignment="1">
      <alignment vertical="top" wrapText="1"/>
    </xf>
    <xf numFmtId="0" fontId="5" fillId="0" borderId="9" xfId="0" applyFont="1" applyBorder="1" applyAlignment="1">
      <alignment horizontal="right" vertical="top" wrapText="1"/>
    </xf>
    <xf numFmtId="0" fontId="1" fillId="3" borderId="3" xfId="0" applyFont="1" applyFill="1" applyBorder="1" applyAlignment="1">
      <alignment vertical="top" wrapText="1"/>
    </xf>
    <xf numFmtId="0" fontId="19" fillId="0" borderId="5" xfId="0" applyFont="1" applyBorder="1" applyAlignment="1">
      <alignment horizontal="center" vertical="top" wrapText="1"/>
    </xf>
    <xf numFmtId="0" fontId="6" fillId="0" borderId="7" xfId="0" applyFont="1" applyBorder="1" applyAlignment="1">
      <alignment vertical="top" wrapText="1"/>
    </xf>
    <xf numFmtId="0" fontId="5" fillId="0" borderId="8" xfId="0" applyFont="1" applyBorder="1" applyAlignment="1">
      <alignment horizontal="center" vertical="top" wrapText="1"/>
    </xf>
    <xf numFmtId="0" fontId="2" fillId="15" borderId="0" xfId="0" applyFont="1" applyFill="1" applyAlignment="1">
      <alignment horizontal="center" vertical="top" wrapText="1"/>
    </xf>
    <xf numFmtId="164" fontId="0" fillId="0" borderId="5" xfId="0" applyNumberFormat="1" applyBorder="1" applyAlignment="1">
      <alignment horizontal="right" vertical="top" wrapText="1"/>
    </xf>
    <xf numFmtId="0" fontId="5" fillId="0" borderId="5" xfId="0" applyFont="1" applyBorder="1" applyAlignment="1">
      <alignment horizontal="right" vertical="top" wrapText="1"/>
    </xf>
    <xf numFmtId="6" fontId="0" fillId="0" borderId="5" xfId="0" applyNumberFormat="1" applyBorder="1" applyAlignment="1">
      <alignment horizontal="right" vertical="top" wrapText="1"/>
    </xf>
    <xf numFmtId="0" fontId="1" fillId="14" borderId="4" xfId="0" applyFont="1" applyFill="1" applyBorder="1" applyAlignment="1">
      <alignment vertical="top" wrapText="1"/>
    </xf>
    <xf numFmtId="0" fontId="1" fillId="14" borderId="5" xfId="0" applyFont="1" applyFill="1" applyBorder="1" applyAlignment="1">
      <alignment horizontal="right" vertical="top" wrapText="1"/>
    </xf>
    <xf numFmtId="0" fontId="6" fillId="14" borderId="5" xfId="0" applyFont="1" applyFill="1" applyBorder="1" applyAlignment="1">
      <alignment horizontal="right" vertical="top" wrapText="1"/>
    </xf>
    <xf numFmtId="0" fontId="1" fillId="14" borderId="6" xfId="0" applyFont="1" applyFill="1" applyBorder="1" applyAlignment="1">
      <alignment vertical="top" wrapText="1"/>
    </xf>
    <xf numFmtId="0" fontId="1" fillId="14" borderId="10" xfId="0" applyFont="1" applyFill="1" applyBorder="1" applyAlignment="1">
      <alignment vertical="top" wrapText="1"/>
    </xf>
    <xf numFmtId="0" fontId="0" fillId="14" borderId="11" xfId="0" applyFill="1" applyBorder="1" applyAlignment="1">
      <alignment vertical="top" wrapText="1"/>
    </xf>
    <xf numFmtId="0" fontId="1" fillId="14" borderId="12" xfId="0" applyFont="1" applyFill="1" applyBorder="1" applyAlignment="1">
      <alignment vertical="top" wrapText="1"/>
    </xf>
    <xf numFmtId="0" fontId="16" fillId="3" borderId="13" xfId="0" applyFont="1" applyFill="1" applyBorder="1" applyAlignment="1">
      <alignment horizontal="center" vertical="top" wrapText="1"/>
    </xf>
    <xf numFmtId="0" fontId="1" fillId="3" borderId="15" xfId="0" applyFont="1" applyFill="1" applyBorder="1" applyAlignment="1">
      <alignment vertical="top" wrapText="1"/>
    </xf>
    <xf numFmtId="0" fontId="2" fillId="5" borderId="16" xfId="0" applyFont="1" applyFill="1" applyBorder="1" applyAlignment="1">
      <alignment horizontal="center" vertical="top" wrapText="1"/>
    </xf>
    <xf numFmtId="0" fontId="2" fillId="5" borderId="17" xfId="0" applyFont="1" applyFill="1" applyBorder="1" applyAlignment="1">
      <alignment vertical="top" wrapText="1"/>
    </xf>
    <xf numFmtId="0" fontId="2" fillId="5" borderId="17" xfId="0" applyFont="1" applyFill="1" applyBorder="1" applyAlignment="1">
      <alignment horizontal="center" vertical="top" wrapText="1"/>
    </xf>
    <xf numFmtId="0" fontId="2" fillId="5" borderId="18" xfId="0" applyFont="1" applyFill="1" applyBorder="1" applyAlignment="1">
      <alignment horizontal="center" vertical="top" wrapText="1"/>
    </xf>
    <xf numFmtId="0" fontId="1" fillId="11" borderId="4" xfId="0" applyFont="1" applyFill="1" applyBorder="1" applyAlignment="1">
      <alignment vertical="top" wrapText="1"/>
    </xf>
    <xf numFmtId="0" fontId="2" fillId="11" borderId="5" xfId="0" applyFont="1" applyFill="1" applyBorder="1" applyAlignment="1">
      <alignment vertical="top" wrapText="1"/>
    </xf>
    <xf numFmtId="0" fontId="0" fillId="11" borderId="5" xfId="0" applyFill="1" applyBorder="1" applyAlignment="1">
      <alignment vertical="top" wrapText="1"/>
    </xf>
    <xf numFmtId="0" fontId="0" fillId="11" borderId="6" xfId="0" applyFill="1" applyBorder="1" applyAlignment="1">
      <alignment vertical="top" wrapText="1"/>
    </xf>
    <xf numFmtId="0" fontId="0" fillId="0" borderId="4" xfId="0" applyFill="1" applyBorder="1" applyAlignment="1">
      <alignment horizontal="center" vertical="top" wrapText="1"/>
    </xf>
    <xf numFmtId="0" fontId="0" fillId="0" borderId="7" xfId="0" applyFill="1" applyBorder="1" applyAlignment="1">
      <alignment horizontal="center" vertical="top" wrapText="1"/>
    </xf>
    <xf numFmtId="0" fontId="1" fillId="8" borderId="5" xfId="0" applyFont="1" applyFill="1" applyBorder="1" applyAlignment="1">
      <alignment vertical="top" wrapText="1"/>
    </xf>
    <xf numFmtId="0" fontId="20" fillId="0" borderId="4" xfId="0" applyFont="1" applyBorder="1" applyAlignment="1">
      <alignment vertical="top" wrapText="1"/>
    </xf>
    <xf numFmtId="0" fontId="21" fillId="6" borderId="0" xfId="0" applyFont="1" applyFill="1" applyAlignment="1">
      <alignment vertical="top" wrapText="1"/>
    </xf>
    <xf numFmtId="0" fontId="0" fillId="5" borderId="0" xfId="0" applyFill="1" applyAlignment="1">
      <alignment vertical="top" wrapText="1"/>
    </xf>
    <xf numFmtId="0" fontId="22" fillId="0" borderId="0" xfId="0" applyFont="1" applyAlignment="1">
      <alignment vertical="top" wrapText="1"/>
    </xf>
    <xf numFmtId="0" fontId="0" fillId="0" borderId="10" xfId="0" applyBorder="1" applyAlignment="1">
      <alignment horizontal="center" vertical="top" wrapText="1"/>
    </xf>
    <xf numFmtId="0" fontId="1" fillId="10" borderId="13" xfId="0" applyFont="1" applyFill="1" applyBorder="1" applyAlignment="1">
      <alignment horizontal="center" vertical="top" wrapText="1"/>
    </xf>
    <xf numFmtId="0" fontId="1" fillId="10" borderId="14" xfId="0" applyFont="1" applyFill="1" applyBorder="1" applyAlignment="1">
      <alignment vertical="top" wrapText="1"/>
    </xf>
    <xf numFmtId="0" fontId="1" fillId="10" borderId="15" xfId="0" applyFont="1" applyFill="1" applyBorder="1" applyAlignment="1">
      <alignment vertical="top" wrapText="1"/>
    </xf>
    <xf numFmtId="0" fontId="6" fillId="6" borderId="0" xfId="0" applyFont="1" applyFill="1" applyAlignment="1">
      <alignment vertical="top" wrapText="1"/>
    </xf>
    <xf numFmtId="0" fontId="1" fillId="10" borderId="1" xfId="0" applyFont="1" applyFill="1" applyBorder="1" applyAlignment="1">
      <alignment vertical="top" wrapText="1"/>
    </xf>
    <xf numFmtId="0" fontId="6" fillId="14" borderId="4" xfId="0" applyFont="1" applyFill="1" applyBorder="1" applyAlignment="1">
      <alignment vertical="top" wrapText="1"/>
    </xf>
    <xf numFmtId="0" fontId="1" fillId="14" borderId="5" xfId="0" applyFont="1" applyFill="1" applyBorder="1" applyAlignment="1">
      <alignment vertical="top" wrapText="1"/>
    </xf>
    <xf numFmtId="0" fontId="20" fillId="14" borderId="5" xfId="0" applyFont="1" applyFill="1" applyBorder="1" applyAlignment="1">
      <alignment horizontal="center" vertical="top" wrapText="1"/>
    </xf>
    <xf numFmtId="0" fontId="1" fillId="0" borderId="1" xfId="0" applyFont="1" applyBorder="1" applyAlignment="1">
      <alignment vertical="top" wrapText="1"/>
    </xf>
    <xf numFmtId="0" fontId="0" fillId="0" borderId="2" xfId="0" applyBorder="1" applyAlignment="1">
      <alignment vertical="top" wrapText="1"/>
    </xf>
    <xf numFmtId="0" fontId="19" fillId="0" borderId="2" xfId="0" applyFont="1" applyBorder="1" applyAlignment="1">
      <alignment horizontal="center"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86"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856B20F-C1D2-40C6-BF65-7FE25D4D1584}">
  <we:reference id="wa200009404" version="1.0.0.8" store="en-US" storeType="OMEX"/>
  <we:alternateReferences>
    <we:reference id="WA200009404" version="1.0.0.8" store="" storeType="OMEX"/>
  </we:alternateReferences>
  <we:properties>
    <we:property name="Office.AutoShowTaskpaneWithDocument" value="true"/>
  </we:properties>
  <we:bindings/>
  <we:snapshot xmlns:r="http://schemas.openxmlformats.org/officeDocument/2006/relationships"/>
</we:webextension>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DBB4B2-F437-4A54-A86E-C5D0B428392F}">
  <dimension ref="A1:F9"/>
  <sheetViews>
    <sheetView workbookViewId="0"/>
  </sheetViews>
  <sheetFormatPr defaultRowHeight="15" x14ac:dyDescent="0.25"/>
  <cols>
    <col min="1" max="1" width="9.5703125" customWidth="1"/>
    <col min="2" max="2" width="15.28515625" customWidth="1"/>
    <col min="3" max="3" width="47.5703125" customWidth="1"/>
    <col min="4" max="4" width="38.140625" customWidth="1"/>
    <col min="5" max="5" width="57.140625" customWidth="1"/>
    <col min="6" max="6" width="47.5703125" customWidth="1"/>
  </cols>
  <sheetData>
    <row r="1" spans="1:6" x14ac:dyDescent="0.25">
      <c r="A1" s="1" t="s">
        <v>0</v>
      </c>
      <c r="B1" s="1" t="s">
        <v>1</v>
      </c>
      <c r="C1" s="1" t="s">
        <v>2</v>
      </c>
      <c r="D1" s="1" t="s">
        <v>3</v>
      </c>
      <c r="E1" s="1" t="s">
        <v>4</v>
      </c>
      <c r="F1" s="1" t="s">
        <v>5</v>
      </c>
    </row>
    <row r="2" spans="1:6" ht="105" x14ac:dyDescent="0.25">
      <c r="A2" s="2">
        <v>1</v>
      </c>
      <c r="B2" s="3">
        <v>46089</v>
      </c>
      <c r="C2" s="2" t="s">
        <v>6</v>
      </c>
      <c r="D2" s="2" t="s">
        <v>181</v>
      </c>
      <c r="E2" s="2" t="s">
        <v>182</v>
      </c>
      <c r="F2" s="2" t="s">
        <v>183</v>
      </c>
    </row>
    <row r="3" spans="1:6" ht="135" x14ac:dyDescent="0.25">
      <c r="A3" s="2">
        <v>2</v>
      </c>
      <c r="B3" s="3">
        <v>46089</v>
      </c>
      <c r="C3" s="2" t="s">
        <v>285</v>
      </c>
      <c r="D3" s="2" t="s">
        <v>286</v>
      </c>
      <c r="E3" s="2" t="s">
        <v>287</v>
      </c>
      <c r="F3" s="2" t="s">
        <v>288</v>
      </c>
    </row>
    <row r="4" spans="1:6" ht="120" x14ac:dyDescent="0.25">
      <c r="A4" s="2">
        <v>3</v>
      </c>
      <c r="B4" s="3">
        <v>46089</v>
      </c>
      <c r="C4" s="2" t="s">
        <v>391</v>
      </c>
      <c r="D4" s="2" t="s">
        <v>392</v>
      </c>
      <c r="E4" s="2" t="s">
        <v>393</v>
      </c>
      <c r="F4" s="2" t="s">
        <v>394</v>
      </c>
    </row>
    <row r="5" spans="1:6" ht="120" x14ac:dyDescent="0.25">
      <c r="A5" s="2">
        <v>4</v>
      </c>
      <c r="B5" s="3">
        <v>46089</v>
      </c>
      <c r="C5" s="2" t="s">
        <v>533</v>
      </c>
      <c r="D5" s="2" t="s">
        <v>534</v>
      </c>
      <c r="E5" s="2" t="s">
        <v>535</v>
      </c>
      <c r="F5" s="2" t="s">
        <v>536</v>
      </c>
    </row>
    <row r="6" spans="1:6" ht="105" x14ac:dyDescent="0.25">
      <c r="A6" s="2">
        <v>5</v>
      </c>
      <c r="B6" s="3">
        <v>46089</v>
      </c>
      <c r="C6" s="2" t="s">
        <v>590</v>
      </c>
      <c r="D6" s="2" t="s">
        <v>591</v>
      </c>
      <c r="E6" s="2" t="s">
        <v>592</v>
      </c>
      <c r="F6" s="2" t="s">
        <v>593</v>
      </c>
    </row>
    <row r="7" spans="1:6" ht="120" x14ac:dyDescent="0.25">
      <c r="A7" s="2">
        <v>6</v>
      </c>
      <c r="B7" s="3">
        <v>46089</v>
      </c>
      <c r="C7" s="2" t="s">
        <v>600</v>
      </c>
      <c r="D7" s="2" t="s">
        <v>601</v>
      </c>
      <c r="E7" s="2" t="s">
        <v>602</v>
      </c>
      <c r="F7" s="2" t="s">
        <v>603</v>
      </c>
    </row>
    <row r="8" spans="1:6" ht="105" x14ac:dyDescent="0.25">
      <c r="A8" s="2">
        <v>7</v>
      </c>
      <c r="B8" s="3">
        <v>46089</v>
      </c>
      <c r="C8" s="2" t="s">
        <v>639</v>
      </c>
      <c r="D8" s="2" t="s">
        <v>640</v>
      </c>
      <c r="E8" s="2" t="s">
        <v>641</v>
      </c>
      <c r="F8" s="2" t="s">
        <v>642</v>
      </c>
    </row>
    <row r="9" spans="1:6" ht="105" x14ac:dyDescent="0.25">
      <c r="A9" s="2">
        <v>8</v>
      </c>
      <c r="B9" s="3">
        <v>46089</v>
      </c>
      <c r="C9" s="2" t="s">
        <v>643</v>
      </c>
      <c r="D9" s="2" t="s">
        <v>644</v>
      </c>
      <c r="E9" s="2" t="s">
        <v>645</v>
      </c>
      <c r="F9" s="2" t="s">
        <v>646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D26F6B-4B71-4541-85CE-1CF72F61786A}">
  <dimension ref="A1:J27"/>
  <sheetViews>
    <sheetView workbookViewId="0">
      <pane ySplit="5" topLeftCell="A17" activePane="bottomLeft" state="frozen"/>
      <selection pane="bottomLeft" activeCell="D15" sqref="D15"/>
    </sheetView>
  </sheetViews>
  <sheetFormatPr defaultRowHeight="15" x14ac:dyDescent="0.25"/>
  <cols>
    <col min="1" max="1" width="43.85546875" customWidth="1"/>
    <col min="2" max="3" width="22.85546875" customWidth="1"/>
    <col min="4" max="4" width="24.7109375" customWidth="1"/>
    <col min="5" max="5" width="41.85546875" customWidth="1"/>
    <col min="6" max="7" width="19" customWidth="1"/>
    <col min="8" max="10" width="38.140625" customWidth="1"/>
  </cols>
  <sheetData>
    <row r="1" spans="1:10" ht="18.75" x14ac:dyDescent="0.3">
      <c r="A1" s="4" t="s">
        <v>7</v>
      </c>
      <c r="B1" s="5"/>
      <c r="C1" s="5"/>
      <c r="D1" s="5"/>
      <c r="E1" s="5"/>
      <c r="F1" s="5"/>
      <c r="G1" s="5"/>
      <c r="H1" s="5"/>
      <c r="I1" s="5"/>
      <c r="J1" s="5"/>
    </row>
    <row r="2" spans="1:10" x14ac:dyDescent="0.25">
      <c r="A2" s="6" t="s">
        <v>8</v>
      </c>
      <c r="B2" s="7"/>
      <c r="C2" s="7"/>
      <c r="D2" s="7"/>
      <c r="E2" s="7"/>
      <c r="F2" s="7"/>
      <c r="G2" s="7"/>
      <c r="H2" s="7"/>
      <c r="I2" s="7"/>
      <c r="J2" s="7"/>
    </row>
    <row r="4" spans="1:10" x14ac:dyDescent="0.25">
      <c r="A4" s="8" t="s">
        <v>9</v>
      </c>
      <c r="B4" s="9"/>
      <c r="C4" s="9"/>
      <c r="D4" s="9"/>
      <c r="E4" s="9"/>
      <c r="F4" s="9"/>
      <c r="G4" s="9"/>
      <c r="H4" s="9"/>
      <c r="I4" s="9"/>
      <c r="J4" s="9"/>
    </row>
    <row r="5" spans="1:10" x14ac:dyDescent="0.25">
      <c r="A5" s="48" t="s">
        <v>10</v>
      </c>
      <c r="B5" s="49" t="s">
        <v>11</v>
      </c>
      <c r="C5" s="49" t="s">
        <v>12</v>
      </c>
      <c r="D5" s="49" t="s">
        <v>13</v>
      </c>
      <c r="E5" s="49" t="s">
        <v>14</v>
      </c>
      <c r="F5" s="49" t="s">
        <v>15</v>
      </c>
      <c r="G5" s="49" t="s">
        <v>16</v>
      </c>
      <c r="H5" s="49" t="s">
        <v>17</v>
      </c>
      <c r="I5" s="49" t="s">
        <v>18</v>
      </c>
      <c r="J5" s="50" t="s">
        <v>19</v>
      </c>
    </row>
    <row r="6" spans="1:10" ht="60" x14ac:dyDescent="0.25">
      <c r="A6" s="35" t="s">
        <v>20</v>
      </c>
      <c r="B6" s="145" t="s">
        <v>493</v>
      </c>
      <c r="C6" s="37" t="s">
        <v>494</v>
      </c>
      <c r="D6" s="37" t="s">
        <v>22</v>
      </c>
      <c r="E6" s="37" t="s">
        <v>495</v>
      </c>
      <c r="F6" s="37" t="s">
        <v>399</v>
      </c>
      <c r="G6" s="37" t="s">
        <v>400</v>
      </c>
      <c r="H6" s="38" t="s">
        <v>496</v>
      </c>
      <c r="I6" s="37" t="s">
        <v>497</v>
      </c>
      <c r="J6" s="39" t="s">
        <v>498</v>
      </c>
    </row>
    <row r="7" spans="1:10" ht="30" x14ac:dyDescent="0.25">
      <c r="A7" s="35" t="s">
        <v>25</v>
      </c>
      <c r="B7" s="36" t="s">
        <v>26</v>
      </c>
      <c r="C7" s="37" t="s">
        <v>27</v>
      </c>
      <c r="D7" s="37" t="s">
        <v>22</v>
      </c>
      <c r="E7" s="37" t="s">
        <v>28</v>
      </c>
      <c r="F7" s="37" t="s">
        <v>23</v>
      </c>
      <c r="G7" s="37" t="s">
        <v>24</v>
      </c>
      <c r="H7" s="38" t="s">
        <v>29</v>
      </c>
      <c r="I7" s="37" t="s">
        <v>30</v>
      </c>
      <c r="J7" s="39" t="s">
        <v>31</v>
      </c>
    </row>
    <row r="8" spans="1:10" ht="75" x14ac:dyDescent="0.25">
      <c r="A8" s="35" t="s">
        <v>32</v>
      </c>
      <c r="B8" s="103" t="s">
        <v>271</v>
      </c>
      <c r="C8" s="37" t="s">
        <v>272</v>
      </c>
      <c r="D8" s="37" t="s">
        <v>273</v>
      </c>
      <c r="E8" s="37" t="s">
        <v>274</v>
      </c>
      <c r="F8" s="37" t="s">
        <v>33</v>
      </c>
      <c r="G8" s="37" t="s">
        <v>275</v>
      </c>
      <c r="H8" s="38" t="s">
        <v>276</v>
      </c>
      <c r="I8" s="37" t="s">
        <v>277</v>
      </c>
      <c r="J8" s="39" t="s">
        <v>278</v>
      </c>
    </row>
    <row r="9" spans="1:10" ht="30" x14ac:dyDescent="0.25">
      <c r="A9" s="44" t="s">
        <v>35</v>
      </c>
      <c r="B9" s="45" t="s">
        <v>36</v>
      </c>
      <c r="C9" s="46" t="s">
        <v>37</v>
      </c>
      <c r="D9" s="46" t="s">
        <v>38</v>
      </c>
      <c r="E9" s="46" t="s">
        <v>39</v>
      </c>
      <c r="F9" s="46" t="s">
        <v>23</v>
      </c>
      <c r="G9" s="46" t="s">
        <v>40</v>
      </c>
      <c r="H9" s="46" t="s">
        <v>41</v>
      </c>
      <c r="I9" s="46" t="s">
        <v>42</v>
      </c>
      <c r="J9" s="47" t="s">
        <v>43</v>
      </c>
    </row>
    <row r="10" spans="1:10" x14ac:dyDescent="0.25">
      <c r="A10" s="2"/>
      <c r="B10" s="2"/>
      <c r="C10" s="2"/>
      <c r="D10" s="2"/>
      <c r="E10" s="2"/>
      <c r="F10" s="2"/>
      <c r="G10" s="2"/>
      <c r="H10" s="2"/>
      <c r="I10" s="2"/>
      <c r="J10" s="2"/>
    </row>
    <row r="11" spans="1:10" x14ac:dyDescent="0.25">
      <c r="A11" s="17" t="s">
        <v>44</v>
      </c>
      <c r="B11" s="18"/>
      <c r="C11" s="18"/>
      <c r="D11" s="18"/>
      <c r="E11" s="18"/>
      <c r="F11" s="18"/>
      <c r="G11" s="18"/>
      <c r="H11" s="18"/>
      <c r="I11" s="18"/>
      <c r="J11" s="18"/>
    </row>
    <row r="12" spans="1:10" x14ac:dyDescent="0.25">
      <c r="A12" s="51" t="s">
        <v>45</v>
      </c>
      <c r="B12" s="52" t="s">
        <v>46</v>
      </c>
      <c r="C12" s="53" t="s">
        <v>47</v>
      </c>
      <c r="D12" s="52" t="s">
        <v>48</v>
      </c>
      <c r="E12" s="54" t="s">
        <v>11</v>
      </c>
      <c r="F12" s="2"/>
      <c r="G12" s="2"/>
      <c r="H12" s="2"/>
      <c r="I12" s="2"/>
      <c r="J12" s="2"/>
    </row>
    <row r="13" spans="1:10" ht="75" x14ac:dyDescent="0.25">
      <c r="A13" s="55">
        <v>1</v>
      </c>
      <c r="B13" s="38" t="s">
        <v>49</v>
      </c>
      <c r="C13" s="56" t="s">
        <v>50</v>
      </c>
      <c r="D13" s="37" t="s">
        <v>51</v>
      </c>
      <c r="E13" s="57" t="s">
        <v>52</v>
      </c>
      <c r="F13" s="2"/>
      <c r="G13" s="2"/>
      <c r="H13" s="2"/>
      <c r="I13" s="2"/>
      <c r="J13" s="2"/>
    </row>
    <row r="14" spans="1:10" ht="75" x14ac:dyDescent="0.25">
      <c r="A14" s="55">
        <v>2</v>
      </c>
      <c r="B14" s="37" t="s">
        <v>53</v>
      </c>
      <c r="C14" s="58" t="s">
        <v>54</v>
      </c>
      <c r="D14" s="37" t="s">
        <v>55</v>
      </c>
      <c r="E14" s="57" t="s">
        <v>52</v>
      </c>
      <c r="F14" s="2"/>
      <c r="G14" s="2"/>
      <c r="H14" s="2"/>
      <c r="I14" s="2"/>
      <c r="J14" s="2"/>
    </row>
    <row r="15" spans="1:10" ht="60" x14ac:dyDescent="0.25">
      <c r="A15" s="55">
        <v>3</v>
      </c>
      <c r="B15" s="37" t="s">
        <v>56</v>
      </c>
      <c r="C15" s="58" t="s">
        <v>54</v>
      </c>
      <c r="D15" s="37" t="s">
        <v>57</v>
      </c>
      <c r="E15" s="57" t="s">
        <v>52</v>
      </c>
      <c r="F15" s="2"/>
      <c r="G15" s="2"/>
      <c r="H15" s="2"/>
      <c r="I15" s="2"/>
      <c r="J15" s="2"/>
    </row>
    <row r="16" spans="1:10" ht="60" x14ac:dyDescent="0.25">
      <c r="A16" s="55">
        <v>4</v>
      </c>
      <c r="B16" s="37" t="s">
        <v>58</v>
      </c>
      <c r="C16" s="58" t="s">
        <v>54</v>
      </c>
      <c r="D16" s="37" t="s">
        <v>59</v>
      </c>
      <c r="E16" s="57" t="s">
        <v>52</v>
      </c>
      <c r="F16" s="2"/>
      <c r="G16" s="2"/>
      <c r="H16" s="2"/>
      <c r="I16" s="2"/>
      <c r="J16" s="2"/>
    </row>
    <row r="17" spans="1:10" ht="90" x14ac:dyDescent="0.25">
      <c r="A17" s="55">
        <v>5</v>
      </c>
      <c r="B17" s="102" t="s">
        <v>269</v>
      </c>
      <c r="C17" s="56" t="s">
        <v>54</v>
      </c>
      <c r="D17" s="37" t="s">
        <v>270</v>
      </c>
      <c r="E17" s="57" t="s">
        <v>52</v>
      </c>
      <c r="F17" s="2"/>
      <c r="G17" s="2"/>
      <c r="H17" s="2"/>
      <c r="I17" s="2"/>
      <c r="J17" s="2"/>
    </row>
    <row r="18" spans="1:10" ht="45" x14ac:dyDescent="0.25">
      <c r="A18" s="55">
        <v>6</v>
      </c>
      <c r="B18" s="37" t="s">
        <v>61</v>
      </c>
      <c r="C18" s="58" t="s">
        <v>60</v>
      </c>
      <c r="D18" s="37" t="s">
        <v>62</v>
      </c>
      <c r="E18" s="57" t="s">
        <v>63</v>
      </c>
      <c r="F18" s="2"/>
      <c r="G18" s="2"/>
      <c r="H18" s="2"/>
      <c r="I18" s="2"/>
      <c r="J18" s="2"/>
    </row>
    <row r="19" spans="1:10" ht="60" x14ac:dyDescent="0.25">
      <c r="A19" s="59">
        <v>7</v>
      </c>
      <c r="B19" s="42" t="s">
        <v>64</v>
      </c>
      <c r="C19" s="60" t="s">
        <v>60</v>
      </c>
      <c r="D19" s="42" t="s">
        <v>65</v>
      </c>
      <c r="E19" s="61" t="s">
        <v>52</v>
      </c>
      <c r="F19" s="2"/>
      <c r="G19" s="2"/>
      <c r="H19" s="2"/>
      <c r="I19" s="2"/>
      <c r="J19" s="2"/>
    </row>
    <row r="20" spans="1:10" x14ac:dyDescent="0.25">
      <c r="A20" s="2"/>
      <c r="B20" s="2"/>
      <c r="C20" s="2"/>
      <c r="D20" s="2"/>
      <c r="E20" s="2"/>
      <c r="F20" s="2"/>
      <c r="G20" s="2"/>
      <c r="H20" s="2"/>
      <c r="I20" s="2"/>
      <c r="J20" s="2"/>
    </row>
    <row r="21" spans="1:10" x14ac:dyDescent="0.25">
      <c r="A21" s="20" t="s">
        <v>66</v>
      </c>
      <c r="B21" s="21"/>
      <c r="C21" s="21"/>
      <c r="D21" s="21"/>
      <c r="E21" s="21"/>
      <c r="F21" s="21"/>
      <c r="G21" s="21"/>
      <c r="H21" s="21"/>
      <c r="I21" s="21"/>
      <c r="J21" s="21"/>
    </row>
    <row r="22" spans="1:10" ht="30" x14ac:dyDescent="0.25">
      <c r="A22" s="62" t="s">
        <v>12</v>
      </c>
      <c r="B22" s="63" t="s">
        <v>67</v>
      </c>
      <c r="C22" s="64" t="s">
        <v>68</v>
      </c>
      <c r="D22" s="65" t="s">
        <v>69</v>
      </c>
      <c r="E22" s="2"/>
      <c r="F22" s="2"/>
      <c r="G22" s="2"/>
      <c r="H22" s="2"/>
      <c r="I22" s="2"/>
      <c r="J22" s="2"/>
    </row>
    <row r="23" spans="1:10" ht="75" x14ac:dyDescent="0.25">
      <c r="A23" s="146" t="s">
        <v>494</v>
      </c>
      <c r="B23" s="37" t="s">
        <v>499</v>
      </c>
      <c r="C23" s="37" t="s">
        <v>500</v>
      </c>
      <c r="D23" s="39" t="s">
        <v>501</v>
      </c>
      <c r="E23" s="2"/>
      <c r="F23" s="2"/>
      <c r="G23" s="2"/>
      <c r="H23" s="2"/>
      <c r="I23" s="2"/>
      <c r="J23" s="2"/>
    </row>
    <row r="24" spans="1:10" ht="90" x14ac:dyDescent="0.25">
      <c r="A24" s="35" t="s">
        <v>502</v>
      </c>
      <c r="B24" s="37" t="s">
        <v>70</v>
      </c>
      <c r="C24" s="37" t="s">
        <v>503</v>
      </c>
      <c r="D24" s="39" t="s">
        <v>504</v>
      </c>
      <c r="E24" s="2"/>
      <c r="F24" s="2"/>
      <c r="G24" s="2"/>
      <c r="H24" s="2"/>
      <c r="I24" s="2"/>
      <c r="J24" s="2"/>
    </row>
    <row r="25" spans="1:10" ht="75" x14ac:dyDescent="0.25">
      <c r="A25" s="35" t="s">
        <v>505</v>
      </c>
      <c r="B25" s="37" t="s">
        <v>506</v>
      </c>
      <c r="C25" s="37" t="s">
        <v>507</v>
      </c>
      <c r="D25" s="39" t="s">
        <v>508</v>
      </c>
      <c r="E25" s="2"/>
      <c r="F25" s="2"/>
      <c r="G25" s="2"/>
      <c r="H25" s="2"/>
      <c r="I25" s="2"/>
      <c r="J25" s="2"/>
    </row>
    <row r="26" spans="1:10" ht="75" x14ac:dyDescent="0.25">
      <c r="A26" s="35" t="s">
        <v>509</v>
      </c>
      <c r="B26" s="37" t="s">
        <v>510</v>
      </c>
      <c r="C26" s="37" t="s">
        <v>511</v>
      </c>
      <c r="D26" s="39" t="s">
        <v>512</v>
      </c>
      <c r="E26" s="2"/>
      <c r="F26" s="2"/>
      <c r="G26" s="2"/>
      <c r="H26" s="2"/>
      <c r="I26" s="2"/>
      <c r="J26" s="2"/>
    </row>
    <row r="27" spans="1:10" ht="60" x14ac:dyDescent="0.25">
      <c r="A27" s="41" t="s">
        <v>513</v>
      </c>
      <c r="B27" s="42" t="s">
        <v>514</v>
      </c>
      <c r="C27" s="42" t="s">
        <v>515</v>
      </c>
      <c r="D27" s="43" t="s">
        <v>516</v>
      </c>
      <c r="E27" s="2"/>
      <c r="F27" s="2"/>
      <c r="G27" s="2"/>
      <c r="H27" s="2"/>
      <c r="I27" s="2"/>
      <c r="J27" s="2"/>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7036E-0D16-47E0-8153-EF2CC2F23799}">
  <dimension ref="A1:I38"/>
  <sheetViews>
    <sheetView workbookViewId="0">
      <pane ySplit="4" topLeftCell="A5" activePane="bottomLeft" state="frozen"/>
      <selection pane="bottomLeft" activeCell="C21" sqref="C21"/>
    </sheetView>
  </sheetViews>
  <sheetFormatPr defaultRowHeight="15" x14ac:dyDescent="0.25"/>
  <cols>
    <col min="1" max="1" width="7.5703125" customWidth="1"/>
    <col min="2" max="2" width="24.7109375" customWidth="1"/>
    <col min="3" max="3" width="57.140625" customWidth="1"/>
    <col min="4" max="4" width="19" customWidth="1"/>
    <col min="5" max="6" width="22.85546875" customWidth="1"/>
    <col min="7" max="8" width="17.140625" customWidth="1"/>
    <col min="9" max="9" width="66.7109375" customWidth="1"/>
  </cols>
  <sheetData>
    <row r="1" spans="1:9" ht="18.75" x14ac:dyDescent="0.3">
      <c r="A1" s="4" t="s">
        <v>71</v>
      </c>
      <c r="B1" s="5"/>
      <c r="C1" s="5"/>
      <c r="D1" s="5"/>
      <c r="E1" s="5"/>
      <c r="F1" s="5"/>
      <c r="G1" s="5"/>
      <c r="H1" s="5"/>
      <c r="I1" s="5"/>
    </row>
    <row r="2" spans="1:9" x14ac:dyDescent="0.25">
      <c r="A2" s="6" t="s">
        <v>72</v>
      </c>
      <c r="B2" s="7"/>
      <c r="C2" s="7"/>
      <c r="D2" s="7"/>
      <c r="E2" s="7"/>
      <c r="F2" s="7"/>
      <c r="G2" s="7"/>
      <c r="H2" s="7"/>
      <c r="I2" s="7"/>
    </row>
    <row r="4" spans="1:9" x14ac:dyDescent="0.25">
      <c r="A4" s="135" t="s">
        <v>45</v>
      </c>
      <c r="B4" s="136" t="s">
        <v>73</v>
      </c>
      <c r="C4" s="136" t="s">
        <v>74</v>
      </c>
      <c r="D4" s="137" t="s">
        <v>11</v>
      </c>
      <c r="E4" s="136" t="s">
        <v>15</v>
      </c>
      <c r="F4" s="136" t="s">
        <v>75</v>
      </c>
      <c r="G4" s="137" t="s">
        <v>76</v>
      </c>
      <c r="H4" s="137" t="s">
        <v>17</v>
      </c>
      <c r="I4" s="138" t="s">
        <v>77</v>
      </c>
    </row>
    <row r="5" spans="1:9" ht="45" x14ac:dyDescent="0.25">
      <c r="A5" s="139"/>
      <c r="B5" s="140" t="s">
        <v>395</v>
      </c>
      <c r="C5" s="141"/>
      <c r="D5" s="141"/>
      <c r="E5" s="141"/>
      <c r="F5" s="141"/>
      <c r="G5" s="141"/>
      <c r="H5" s="141"/>
      <c r="I5" s="142"/>
    </row>
    <row r="6" spans="1:9" ht="45" x14ac:dyDescent="0.25">
      <c r="A6" s="55">
        <v>1.1000000000000001</v>
      </c>
      <c r="B6" s="37" t="s">
        <v>396</v>
      </c>
      <c r="C6" s="102" t="s">
        <v>397</v>
      </c>
      <c r="D6" s="81" t="s">
        <v>398</v>
      </c>
      <c r="E6" s="37" t="s">
        <v>399</v>
      </c>
      <c r="F6" s="37" t="s">
        <v>82</v>
      </c>
      <c r="G6" s="102" t="s">
        <v>400</v>
      </c>
      <c r="H6" s="37"/>
      <c r="I6" s="39" t="s">
        <v>401</v>
      </c>
    </row>
    <row r="7" spans="1:9" ht="30" x14ac:dyDescent="0.25">
      <c r="A7" s="55">
        <v>1.2</v>
      </c>
      <c r="B7" s="37" t="s">
        <v>396</v>
      </c>
      <c r="C7" s="37" t="s">
        <v>402</v>
      </c>
      <c r="D7" s="37" t="s">
        <v>90</v>
      </c>
      <c r="E7" s="37" t="s">
        <v>23</v>
      </c>
      <c r="F7" s="37" t="s">
        <v>403</v>
      </c>
      <c r="G7" s="37" t="s">
        <v>404</v>
      </c>
      <c r="H7" s="37"/>
      <c r="I7" s="39" t="s">
        <v>405</v>
      </c>
    </row>
    <row r="8" spans="1:9" ht="30" x14ac:dyDescent="0.25">
      <c r="A8" s="55">
        <v>1.3</v>
      </c>
      <c r="B8" s="37" t="s">
        <v>396</v>
      </c>
      <c r="C8" s="37" t="s">
        <v>406</v>
      </c>
      <c r="D8" s="37" t="s">
        <v>90</v>
      </c>
      <c r="E8" s="37" t="s">
        <v>407</v>
      </c>
      <c r="F8" s="37" t="s">
        <v>408</v>
      </c>
      <c r="G8" s="37" t="s">
        <v>409</v>
      </c>
      <c r="H8" s="37"/>
      <c r="I8" s="39" t="s">
        <v>410</v>
      </c>
    </row>
    <row r="9" spans="1:9" ht="30" x14ac:dyDescent="0.25">
      <c r="A9" s="143">
        <v>1.4</v>
      </c>
      <c r="B9" s="37" t="s">
        <v>396</v>
      </c>
      <c r="C9" s="37" t="s">
        <v>411</v>
      </c>
      <c r="D9" s="37" t="s">
        <v>90</v>
      </c>
      <c r="E9" s="37" t="s">
        <v>399</v>
      </c>
      <c r="F9" s="37" t="s">
        <v>412</v>
      </c>
      <c r="G9" s="37" t="s">
        <v>413</v>
      </c>
      <c r="H9" s="37"/>
      <c r="I9" s="39" t="s">
        <v>414</v>
      </c>
    </row>
    <row r="10" spans="1:9" ht="30" x14ac:dyDescent="0.25">
      <c r="A10" s="143">
        <v>1.5</v>
      </c>
      <c r="B10" s="37" t="s">
        <v>396</v>
      </c>
      <c r="C10" s="37" t="s">
        <v>415</v>
      </c>
      <c r="D10" s="37" t="s">
        <v>90</v>
      </c>
      <c r="E10" s="37" t="s">
        <v>399</v>
      </c>
      <c r="F10" s="37">
        <v>1.4</v>
      </c>
      <c r="G10" s="37" t="s">
        <v>416</v>
      </c>
      <c r="H10" s="37"/>
      <c r="I10" s="39" t="s">
        <v>417</v>
      </c>
    </row>
    <row r="11" spans="1:9" ht="30" x14ac:dyDescent="0.25">
      <c r="A11" s="143">
        <v>1.6</v>
      </c>
      <c r="B11" s="37" t="s">
        <v>396</v>
      </c>
      <c r="C11" s="37" t="s">
        <v>418</v>
      </c>
      <c r="D11" s="37" t="s">
        <v>90</v>
      </c>
      <c r="E11" s="37" t="s">
        <v>23</v>
      </c>
      <c r="F11" s="37">
        <v>1.5</v>
      </c>
      <c r="G11" s="37" t="s">
        <v>419</v>
      </c>
      <c r="H11" s="37"/>
      <c r="I11" s="39" t="s">
        <v>420</v>
      </c>
    </row>
    <row r="12" spans="1:9" ht="75" x14ac:dyDescent="0.25">
      <c r="A12" s="70"/>
      <c r="B12" s="71" t="s">
        <v>421</v>
      </c>
      <c r="C12" s="72"/>
      <c r="D12" s="72"/>
      <c r="E12" s="72"/>
      <c r="F12" s="72"/>
      <c r="G12" s="72"/>
      <c r="H12" s="72"/>
      <c r="I12" s="73"/>
    </row>
    <row r="13" spans="1:9" ht="30" x14ac:dyDescent="0.25">
      <c r="A13" s="143">
        <v>2.1</v>
      </c>
      <c r="B13" s="37" t="s">
        <v>94</v>
      </c>
      <c r="C13" s="37" t="s">
        <v>422</v>
      </c>
      <c r="D13" s="38" t="s">
        <v>78</v>
      </c>
      <c r="E13" s="37" t="s">
        <v>23</v>
      </c>
      <c r="F13" s="37" t="s">
        <v>423</v>
      </c>
      <c r="G13" s="37" t="s">
        <v>24</v>
      </c>
      <c r="H13" s="74" t="s">
        <v>79</v>
      </c>
      <c r="I13" s="39" t="s">
        <v>424</v>
      </c>
    </row>
    <row r="14" spans="1:9" ht="30" x14ac:dyDescent="0.25">
      <c r="A14" s="143">
        <v>2.2000000000000002</v>
      </c>
      <c r="B14" s="37" t="s">
        <v>94</v>
      </c>
      <c r="C14" s="37" t="s">
        <v>80</v>
      </c>
      <c r="D14" s="75" t="s">
        <v>81</v>
      </c>
      <c r="E14" s="37" t="s">
        <v>23</v>
      </c>
      <c r="F14" s="37" t="s">
        <v>82</v>
      </c>
      <c r="G14" s="37" t="s">
        <v>24</v>
      </c>
      <c r="H14" s="37" t="s">
        <v>83</v>
      </c>
      <c r="I14" s="39" t="s">
        <v>425</v>
      </c>
    </row>
    <row r="15" spans="1:9" ht="30" x14ac:dyDescent="0.25">
      <c r="A15" s="143">
        <v>2.2999999999999998</v>
      </c>
      <c r="B15" s="37" t="s">
        <v>94</v>
      </c>
      <c r="C15" s="37" t="s">
        <v>426</v>
      </c>
      <c r="D15" s="37" t="s">
        <v>85</v>
      </c>
      <c r="E15" s="37" t="s">
        <v>23</v>
      </c>
      <c r="F15" s="37" t="s">
        <v>82</v>
      </c>
      <c r="G15" s="37" t="s">
        <v>24</v>
      </c>
      <c r="H15" s="37"/>
      <c r="I15" s="39" t="s">
        <v>427</v>
      </c>
    </row>
    <row r="16" spans="1:9" ht="30" x14ac:dyDescent="0.25">
      <c r="A16" s="143">
        <v>2.4</v>
      </c>
      <c r="B16" s="37" t="s">
        <v>84</v>
      </c>
      <c r="C16" s="37" t="s">
        <v>428</v>
      </c>
      <c r="D16" s="37" t="s">
        <v>85</v>
      </c>
      <c r="E16" s="37" t="s">
        <v>23</v>
      </c>
      <c r="F16" s="37" t="s">
        <v>82</v>
      </c>
      <c r="G16" s="37" t="s">
        <v>429</v>
      </c>
      <c r="H16" s="37"/>
      <c r="I16" s="39" t="s">
        <v>430</v>
      </c>
    </row>
    <row r="17" spans="1:9" ht="30" x14ac:dyDescent="0.25">
      <c r="A17" s="143">
        <v>2.5</v>
      </c>
      <c r="B17" s="37" t="s">
        <v>84</v>
      </c>
      <c r="C17" s="37" t="s">
        <v>431</v>
      </c>
      <c r="D17" s="37" t="s">
        <v>85</v>
      </c>
      <c r="E17" s="37" t="s">
        <v>23</v>
      </c>
      <c r="F17" s="37" t="s">
        <v>82</v>
      </c>
      <c r="G17" s="37" t="s">
        <v>429</v>
      </c>
      <c r="H17" s="37"/>
      <c r="I17" s="39" t="s">
        <v>432</v>
      </c>
    </row>
    <row r="18" spans="1:9" ht="30" x14ac:dyDescent="0.25">
      <c r="A18" s="143">
        <v>2.6</v>
      </c>
      <c r="B18" s="37" t="s">
        <v>86</v>
      </c>
      <c r="C18" s="37" t="s">
        <v>433</v>
      </c>
      <c r="D18" s="37" t="s">
        <v>85</v>
      </c>
      <c r="E18" s="37" t="s">
        <v>23</v>
      </c>
      <c r="F18" s="37" t="s">
        <v>82</v>
      </c>
      <c r="G18" s="37" t="s">
        <v>434</v>
      </c>
      <c r="H18" s="37"/>
      <c r="I18" s="39" t="s">
        <v>435</v>
      </c>
    </row>
    <row r="19" spans="1:9" ht="30" x14ac:dyDescent="0.25">
      <c r="A19" s="143">
        <v>2.7</v>
      </c>
      <c r="B19" s="37" t="s">
        <v>87</v>
      </c>
      <c r="C19" s="37" t="s">
        <v>436</v>
      </c>
      <c r="D19" s="37" t="s">
        <v>85</v>
      </c>
      <c r="E19" s="37" t="s">
        <v>23</v>
      </c>
      <c r="F19" s="37" t="s">
        <v>82</v>
      </c>
      <c r="G19" s="37" t="s">
        <v>429</v>
      </c>
      <c r="H19" s="37"/>
      <c r="I19" s="39" t="s">
        <v>437</v>
      </c>
    </row>
    <row r="20" spans="1:9" ht="59.25" customHeight="1" x14ac:dyDescent="0.25">
      <c r="A20" s="76"/>
      <c r="B20" s="77" t="s">
        <v>438</v>
      </c>
      <c r="C20" s="78"/>
      <c r="D20" s="78"/>
      <c r="E20" s="78"/>
      <c r="F20" s="78"/>
      <c r="G20" s="78"/>
      <c r="H20" s="78"/>
      <c r="I20" s="79"/>
    </row>
    <row r="21" spans="1:9" ht="30" x14ac:dyDescent="0.25">
      <c r="A21" s="143">
        <v>3.1</v>
      </c>
      <c r="B21" s="37" t="s">
        <v>88</v>
      </c>
      <c r="C21" s="37" t="s">
        <v>89</v>
      </c>
      <c r="D21" s="37" t="s">
        <v>90</v>
      </c>
      <c r="E21" s="37" t="s">
        <v>23</v>
      </c>
      <c r="F21" s="37" t="s">
        <v>439</v>
      </c>
      <c r="G21" s="37" t="s">
        <v>440</v>
      </c>
      <c r="H21" s="37"/>
      <c r="I21" s="39" t="s">
        <v>441</v>
      </c>
    </row>
    <row r="22" spans="1:9" ht="30" x14ac:dyDescent="0.25">
      <c r="A22" s="143">
        <v>3.2</v>
      </c>
      <c r="B22" s="37" t="s">
        <v>88</v>
      </c>
      <c r="C22" s="37" t="s">
        <v>442</v>
      </c>
      <c r="D22" s="37" t="s">
        <v>90</v>
      </c>
      <c r="E22" s="37" t="s">
        <v>91</v>
      </c>
      <c r="F22" s="37" t="s">
        <v>443</v>
      </c>
      <c r="G22" s="37" t="s">
        <v>444</v>
      </c>
      <c r="H22" s="37"/>
      <c r="I22" s="39" t="s">
        <v>445</v>
      </c>
    </row>
    <row r="23" spans="1:9" ht="30" x14ac:dyDescent="0.25">
      <c r="A23" s="143">
        <v>3.3</v>
      </c>
      <c r="B23" s="37" t="s">
        <v>92</v>
      </c>
      <c r="C23" s="37" t="s">
        <v>93</v>
      </c>
      <c r="D23" s="37" t="s">
        <v>90</v>
      </c>
      <c r="E23" s="37" t="s">
        <v>23</v>
      </c>
      <c r="F23" s="37" t="s">
        <v>446</v>
      </c>
      <c r="G23" s="37" t="s">
        <v>440</v>
      </c>
      <c r="H23" s="37"/>
      <c r="I23" s="39" t="s">
        <v>447</v>
      </c>
    </row>
    <row r="24" spans="1:9" ht="30" x14ac:dyDescent="0.25">
      <c r="A24" s="143">
        <v>3.4</v>
      </c>
      <c r="B24" s="37" t="s">
        <v>96</v>
      </c>
      <c r="C24" s="37" t="s">
        <v>97</v>
      </c>
      <c r="D24" s="37" t="s">
        <v>90</v>
      </c>
      <c r="E24" s="37" t="s">
        <v>448</v>
      </c>
      <c r="F24" s="37" t="s">
        <v>449</v>
      </c>
      <c r="G24" s="37" t="s">
        <v>450</v>
      </c>
      <c r="H24" s="37"/>
      <c r="I24" s="39" t="s">
        <v>451</v>
      </c>
    </row>
    <row r="25" spans="1:9" ht="30" x14ac:dyDescent="0.25">
      <c r="A25" s="143">
        <v>3.5</v>
      </c>
      <c r="B25" s="37" t="s">
        <v>96</v>
      </c>
      <c r="C25" s="37" t="s">
        <v>452</v>
      </c>
      <c r="D25" s="37" t="s">
        <v>90</v>
      </c>
      <c r="E25" s="37" t="s">
        <v>23</v>
      </c>
      <c r="F25" s="37">
        <v>3.4</v>
      </c>
      <c r="G25" s="37"/>
      <c r="H25" s="37"/>
      <c r="I25" s="39" t="s">
        <v>453</v>
      </c>
    </row>
    <row r="26" spans="1:9" ht="30" x14ac:dyDescent="0.25">
      <c r="A26" s="143">
        <v>3.6</v>
      </c>
      <c r="B26" s="37" t="s">
        <v>92</v>
      </c>
      <c r="C26" s="37" t="s">
        <v>98</v>
      </c>
      <c r="D26" s="37" t="s">
        <v>90</v>
      </c>
      <c r="E26" s="37" t="s">
        <v>99</v>
      </c>
      <c r="F26" s="37" t="s">
        <v>454</v>
      </c>
      <c r="G26" s="37"/>
      <c r="H26" s="37"/>
      <c r="I26" s="39" t="s">
        <v>455</v>
      </c>
    </row>
    <row r="27" spans="1:9" ht="30" x14ac:dyDescent="0.25">
      <c r="A27" s="143">
        <v>3.7</v>
      </c>
      <c r="B27" s="37" t="s">
        <v>92</v>
      </c>
      <c r="C27" s="37" t="s">
        <v>456</v>
      </c>
      <c r="D27" s="37" t="s">
        <v>90</v>
      </c>
      <c r="E27" s="37" t="s">
        <v>457</v>
      </c>
      <c r="F27" s="37">
        <v>3.6</v>
      </c>
      <c r="G27" s="37"/>
      <c r="H27" s="37"/>
      <c r="I27" s="39" t="s">
        <v>458</v>
      </c>
    </row>
    <row r="28" spans="1:9" x14ac:dyDescent="0.25">
      <c r="A28" s="143">
        <v>3.8</v>
      </c>
      <c r="B28" s="37" t="s">
        <v>87</v>
      </c>
      <c r="C28" s="37" t="s">
        <v>459</v>
      </c>
      <c r="D28" s="37" t="s">
        <v>90</v>
      </c>
      <c r="E28" s="37" t="s">
        <v>23</v>
      </c>
      <c r="F28" s="37">
        <v>2.7</v>
      </c>
      <c r="G28" s="37"/>
      <c r="H28" s="37"/>
      <c r="I28" s="39" t="s">
        <v>460</v>
      </c>
    </row>
    <row r="29" spans="1:9" ht="60" x14ac:dyDescent="0.25">
      <c r="A29" s="80"/>
      <c r="B29" s="81" t="s">
        <v>461</v>
      </c>
      <c r="C29" s="36"/>
      <c r="D29" s="36"/>
      <c r="E29" s="36"/>
      <c r="F29" s="36"/>
      <c r="G29" s="36"/>
      <c r="H29" s="36"/>
      <c r="I29" s="82"/>
    </row>
    <row r="30" spans="1:9" ht="30" x14ac:dyDescent="0.25">
      <c r="A30" s="143">
        <v>4.0999999999999996</v>
      </c>
      <c r="B30" s="37" t="s">
        <v>94</v>
      </c>
      <c r="C30" s="37" t="s">
        <v>462</v>
      </c>
      <c r="D30" s="37" t="s">
        <v>90</v>
      </c>
      <c r="E30" s="37" t="s">
        <v>95</v>
      </c>
      <c r="F30" s="37" t="s">
        <v>463</v>
      </c>
      <c r="G30" s="37" t="s">
        <v>464</v>
      </c>
      <c r="H30" s="37"/>
      <c r="I30" s="39" t="s">
        <v>465</v>
      </c>
    </row>
    <row r="31" spans="1:9" ht="30" x14ac:dyDescent="0.25">
      <c r="A31" s="143">
        <v>4.2</v>
      </c>
      <c r="B31" s="37" t="s">
        <v>94</v>
      </c>
      <c r="C31" s="37" t="s">
        <v>466</v>
      </c>
      <c r="D31" s="37" t="s">
        <v>90</v>
      </c>
      <c r="E31" s="37" t="s">
        <v>467</v>
      </c>
      <c r="F31" s="37">
        <v>4.0999999999999996</v>
      </c>
      <c r="G31" s="37" t="s">
        <v>468</v>
      </c>
      <c r="H31" s="37"/>
      <c r="I31" s="39" t="s">
        <v>469</v>
      </c>
    </row>
    <row r="32" spans="1:9" ht="30" x14ac:dyDescent="0.25">
      <c r="A32" s="143">
        <v>4.3</v>
      </c>
      <c r="B32" s="37" t="s">
        <v>94</v>
      </c>
      <c r="C32" s="37" t="s">
        <v>470</v>
      </c>
      <c r="D32" s="37" t="s">
        <v>90</v>
      </c>
      <c r="E32" s="37" t="s">
        <v>471</v>
      </c>
      <c r="F32" s="37" t="s">
        <v>472</v>
      </c>
      <c r="G32" s="37"/>
      <c r="H32" s="37"/>
      <c r="I32" s="39" t="s">
        <v>473</v>
      </c>
    </row>
    <row r="33" spans="1:9" ht="90" x14ac:dyDescent="0.25">
      <c r="A33" s="83"/>
      <c r="B33" s="84" t="s">
        <v>474</v>
      </c>
      <c r="C33" s="40"/>
      <c r="D33" s="40"/>
      <c r="E33" s="40"/>
      <c r="F33" s="40"/>
      <c r="G33" s="40"/>
      <c r="H33" s="40"/>
      <c r="I33" s="85"/>
    </row>
    <row r="34" spans="1:9" ht="30" x14ac:dyDescent="0.25">
      <c r="A34" s="143">
        <v>5.0999999999999996</v>
      </c>
      <c r="B34" s="37" t="s">
        <v>100</v>
      </c>
      <c r="C34" s="37" t="s">
        <v>475</v>
      </c>
      <c r="D34" s="37" t="s">
        <v>90</v>
      </c>
      <c r="E34" s="37" t="s">
        <v>448</v>
      </c>
      <c r="F34" s="37" t="s">
        <v>476</v>
      </c>
      <c r="G34" s="37" t="s">
        <v>477</v>
      </c>
      <c r="H34" s="37"/>
      <c r="I34" s="39" t="s">
        <v>478</v>
      </c>
    </row>
    <row r="35" spans="1:9" ht="45" x14ac:dyDescent="0.25">
      <c r="A35" s="143">
        <v>5.2</v>
      </c>
      <c r="B35" s="37" t="s">
        <v>101</v>
      </c>
      <c r="C35" s="37" t="s">
        <v>479</v>
      </c>
      <c r="D35" s="37" t="s">
        <v>90</v>
      </c>
      <c r="E35" s="37" t="s">
        <v>23</v>
      </c>
      <c r="F35" s="37" t="s">
        <v>480</v>
      </c>
      <c r="G35" s="37" t="s">
        <v>481</v>
      </c>
      <c r="H35" s="37"/>
      <c r="I35" s="39" t="s">
        <v>482</v>
      </c>
    </row>
    <row r="36" spans="1:9" ht="30" x14ac:dyDescent="0.25">
      <c r="A36" s="143">
        <v>5.3</v>
      </c>
      <c r="B36" s="37" t="s">
        <v>101</v>
      </c>
      <c r="C36" s="37" t="s">
        <v>102</v>
      </c>
      <c r="D36" s="37" t="s">
        <v>90</v>
      </c>
      <c r="E36" s="37" t="s">
        <v>23</v>
      </c>
      <c r="F36" s="37">
        <v>5.2</v>
      </c>
      <c r="G36" s="37" t="s">
        <v>483</v>
      </c>
      <c r="H36" s="37"/>
      <c r="I36" s="39" t="s">
        <v>484</v>
      </c>
    </row>
    <row r="37" spans="1:9" ht="30" x14ac:dyDescent="0.25">
      <c r="A37" s="143">
        <v>5.4</v>
      </c>
      <c r="B37" s="37" t="s">
        <v>101</v>
      </c>
      <c r="C37" s="37" t="s">
        <v>485</v>
      </c>
      <c r="D37" s="37" t="s">
        <v>90</v>
      </c>
      <c r="E37" s="37" t="s">
        <v>486</v>
      </c>
      <c r="F37" s="37">
        <v>5.3</v>
      </c>
      <c r="G37" s="37" t="s">
        <v>487</v>
      </c>
      <c r="H37" s="37"/>
      <c r="I37" s="39" t="s">
        <v>488</v>
      </c>
    </row>
    <row r="38" spans="1:9" ht="30" x14ac:dyDescent="0.25">
      <c r="A38" s="144">
        <v>5.5</v>
      </c>
      <c r="B38" s="42" t="s">
        <v>489</v>
      </c>
      <c r="C38" s="42" t="s">
        <v>490</v>
      </c>
      <c r="D38" s="42" t="s">
        <v>90</v>
      </c>
      <c r="E38" s="42" t="s">
        <v>23</v>
      </c>
      <c r="F38" s="42" t="s">
        <v>491</v>
      </c>
      <c r="G38" s="42" t="s">
        <v>40</v>
      </c>
      <c r="H38" s="42"/>
      <c r="I38" s="43" t="s">
        <v>492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6CCBC1-6075-48AD-9D13-EAB564B3C260}">
  <dimension ref="A1:G125"/>
  <sheetViews>
    <sheetView topLeftCell="A46" workbookViewId="0">
      <selection activeCell="B72" sqref="B72"/>
    </sheetView>
  </sheetViews>
  <sheetFormatPr defaultRowHeight="15" x14ac:dyDescent="0.25"/>
  <cols>
    <col min="1" max="1" width="34.28515625" customWidth="1"/>
    <col min="2" max="4" width="47.5703125" customWidth="1"/>
    <col min="5" max="7" width="38.140625" customWidth="1"/>
  </cols>
  <sheetData>
    <row r="1" spans="1:7" ht="18.75" x14ac:dyDescent="0.3">
      <c r="A1" s="4" t="s">
        <v>103</v>
      </c>
      <c r="B1" s="5"/>
      <c r="C1" s="5"/>
      <c r="D1" s="5"/>
      <c r="E1" s="5"/>
      <c r="F1" s="5"/>
      <c r="G1" s="5"/>
    </row>
    <row r="2" spans="1:7" x14ac:dyDescent="0.25">
      <c r="A2" s="6" t="s">
        <v>104</v>
      </c>
      <c r="B2" s="7"/>
      <c r="C2" s="7"/>
      <c r="D2" s="7"/>
      <c r="E2" s="7"/>
      <c r="F2" s="7"/>
      <c r="G2" s="7"/>
    </row>
    <row r="4" spans="1:7" x14ac:dyDescent="0.25">
      <c r="A4" s="24" t="s">
        <v>105</v>
      </c>
      <c r="B4" s="25"/>
      <c r="C4" s="25"/>
      <c r="D4" s="25"/>
      <c r="E4" s="25"/>
      <c r="F4" s="25"/>
      <c r="G4" s="25"/>
    </row>
    <row r="5" spans="1:7" ht="90" x14ac:dyDescent="0.25">
      <c r="A5" s="26" t="s">
        <v>106</v>
      </c>
      <c r="B5" s="2" t="s">
        <v>254</v>
      </c>
      <c r="C5" s="2"/>
      <c r="D5" s="2"/>
      <c r="E5" s="2"/>
      <c r="F5" s="2"/>
      <c r="G5" s="2"/>
    </row>
    <row r="6" spans="1:7" ht="90" x14ac:dyDescent="0.25">
      <c r="A6" s="26" t="s">
        <v>107</v>
      </c>
      <c r="B6" s="2" t="s">
        <v>255</v>
      </c>
      <c r="C6" s="2"/>
      <c r="D6" s="2"/>
      <c r="E6" s="2"/>
      <c r="F6" s="2"/>
      <c r="G6" s="2"/>
    </row>
    <row r="7" spans="1:7" ht="90" x14ac:dyDescent="0.25">
      <c r="A7" s="26" t="s">
        <v>108</v>
      </c>
      <c r="B7" s="2" t="s">
        <v>256</v>
      </c>
      <c r="C7" s="2"/>
      <c r="D7" s="2"/>
      <c r="E7" s="2"/>
      <c r="F7" s="2"/>
      <c r="G7" s="2"/>
    </row>
    <row r="8" spans="1:7" ht="105" x14ac:dyDescent="0.25">
      <c r="A8" s="101" t="s">
        <v>257</v>
      </c>
      <c r="B8" s="2" t="s">
        <v>344</v>
      </c>
      <c r="C8" s="2"/>
      <c r="D8" s="2"/>
      <c r="E8" s="2"/>
      <c r="F8" s="2"/>
      <c r="G8" s="2"/>
    </row>
    <row r="9" spans="1:7" ht="60" x14ac:dyDescent="0.25">
      <c r="A9" s="101" t="s">
        <v>258</v>
      </c>
      <c r="B9" s="2" t="s">
        <v>259</v>
      </c>
      <c r="C9" s="2"/>
      <c r="D9" s="2"/>
      <c r="E9" s="2"/>
      <c r="F9" s="2"/>
      <c r="G9" s="2"/>
    </row>
    <row r="10" spans="1:7" x14ac:dyDescent="0.25">
      <c r="A10" s="28" t="s">
        <v>260</v>
      </c>
      <c r="B10" s="2"/>
      <c r="C10" s="2"/>
      <c r="D10" s="2"/>
      <c r="E10" s="2"/>
      <c r="F10" s="2"/>
      <c r="G10" s="2"/>
    </row>
    <row r="11" spans="1:7" ht="75" x14ac:dyDescent="0.25">
      <c r="A11" s="26" t="s">
        <v>261</v>
      </c>
      <c r="B11" s="2" t="s">
        <v>262</v>
      </c>
      <c r="C11" s="2"/>
      <c r="D11" s="2"/>
      <c r="E11" s="2"/>
      <c r="F11" s="2"/>
      <c r="G11" s="2"/>
    </row>
    <row r="12" spans="1:7" ht="75" x14ac:dyDescent="0.25">
      <c r="A12" s="26" t="s">
        <v>263</v>
      </c>
      <c r="B12" s="2" t="s">
        <v>264</v>
      </c>
      <c r="C12" s="2"/>
      <c r="D12" s="2"/>
      <c r="E12" s="2"/>
      <c r="F12" s="2"/>
      <c r="G12" s="2"/>
    </row>
    <row r="13" spans="1:7" ht="75" x14ac:dyDescent="0.25">
      <c r="A13" s="26" t="s">
        <v>265</v>
      </c>
      <c r="B13" s="2" t="s">
        <v>266</v>
      </c>
      <c r="C13" s="2"/>
      <c r="D13" s="2"/>
      <c r="E13" s="2"/>
      <c r="F13" s="2"/>
      <c r="G13" s="2"/>
    </row>
    <row r="14" spans="1:7" ht="75" x14ac:dyDescent="0.25">
      <c r="A14" s="26" t="s">
        <v>267</v>
      </c>
      <c r="B14" s="2" t="s">
        <v>268</v>
      </c>
      <c r="C14" s="2"/>
      <c r="D14" s="2"/>
      <c r="E14" s="2"/>
      <c r="F14" s="2"/>
      <c r="G14" s="2"/>
    </row>
    <row r="15" spans="1:7" x14ac:dyDescent="0.25">
      <c r="A15" s="2"/>
      <c r="B15" s="2"/>
      <c r="C15" s="2"/>
      <c r="D15" s="2"/>
      <c r="E15" s="2"/>
      <c r="F15" s="2"/>
      <c r="G15" s="2"/>
    </row>
    <row r="16" spans="1:7" ht="30" x14ac:dyDescent="0.25">
      <c r="A16" s="24" t="s">
        <v>109</v>
      </c>
      <c r="B16" s="25"/>
      <c r="C16" s="25"/>
      <c r="D16" s="25"/>
      <c r="E16" s="25"/>
      <c r="F16" s="25"/>
      <c r="G16" s="25"/>
    </row>
    <row r="17" spans="1:7" x14ac:dyDescent="0.25">
      <c r="A17" s="29" t="s">
        <v>1</v>
      </c>
      <c r="B17" s="26" t="s">
        <v>110</v>
      </c>
      <c r="C17" s="26" t="s">
        <v>111</v>
      </c>
      <c r="D17" s="26" t="s">
        <v>112</v>
      </c>
      <c r="E17" s="26" t="s">
        <v>113</v>
      </c>
      <c r="F17" s="26" t="s">
        <v>114</v>
      </c>
      <c r="G17" s="29" t="s">
        <v>115</v>
      </c>
    </row>
    <row r="18" spans="1:7" ht="90" x14ac:dyDescent="0.25">
      <c r="A18" s="2" t="s">
        <v>184</v>
      </c>
      <c r="B18" s="2" t="s">
        <v>185</v>
      </c>
      <c r="C18" s="2" t="s">
        <v>186</v>
      </c>
      <c r="D18" s="2" t="s">
        <v>187</v>
      </c>
      <c r="E18" s="2" t="s">
        <v>188</v>
      </c>
      <c r="F18" s="98" t="s">
        <v>189</v>
      </c>
      <c r="G18" s="2" t="s">
        <v>190</v>
      </c>
    </row>
    <row r="19" spans="1:7" ht="120" x14ac:dyDescent="0.25">
      <c r="A19" s="99">
        <v>46087</v>
      </c>
      <c r="B19" s="13" t="s">
        <v>191</v>
      </c>
      <c r="C19" s="2" t="s">
        <v>192</v>
      </c>
      <c r="D19" s="2" t="s">
        <v>193</v>
      </c>
      <c r="E19" s="2" t="s">
        <v>194</v>
      </c>
      <c r="F19" s="15" t="s">
        <v>195</v>
      </c>
      <c r="G19" s="2" t="s">
        <v>196</v>
      </c>
    </row>
    <row r="20" spans="1:7" ht="30" x14ac:dyDescent="0.25">
      <c r="A20" s="30" t="s">
        <v>34</v>
      </c>
      <c r="B20" s="30" t="s">
        <v>117</v>
      </c>
      <c r="C20" s="31" t="s">
        <v>116</v>
      </c>
      <c r="D20" s="31" t="s">
        <v>118</v>
      </c>
      <c r="E20" s="30" t="s">
        <v>119</v>
      </c>
      <c r="F20" s="30" t="s">
        <v>120</v>
      </c>
      <c r="G20" s="30" t="s">
        <v>121</v>
      </c>
    </row>
    <row r="21" spans="1:7" x14ac:dyDescent="0.25">
      <c r="A21" s="2"/>
      <c r="B21" s="2"/>
      <c r="C21" s="2"/>
      <c r="D21" s="2"/>
      <c r="E21" s="2"/>
      <c r="F21" s="2"/>
      <c r="G21" s="2"/>
    </row>
    <row r="22" spans="1:7" ht="30" x14ac:dyDescent="0.25">
      <c r="A22" s="24" t="s">
        <v>122</v>
      </c>
      <c r="B22" s="25"/>
      <c r="C22" s="25"/>
      <c r="D22" s="25"/>
      <c r="E22" s="25"/>
      <c r="F22" s="25"/>
      <c r="G22" s="25"/>
    </row>
    <row r="23" spans="1:7" x14ac:dyDescent="0.25">
      <c r="A23" s="26" t="s">
        <v>123</v>
      </c>
      <c r="B23" s="29" t="s">
        <v>124</v>
      </c>
      <c r="C23" s="29" t="s">
        <v>125</v>
      </c>
      <c r="D23" s="26" t="s">
        <v>126</v>
      </c>
      <c r="E23" s="2"/>
      <c r="F23" s="2"/>
      <c r="G23" s="2"/>
    </row>
    <row r="24" spans="1:7" ht="45" x14ac:dyDescent="0.25">
      <c r="A24" s="2" t="s">
        <v>197</v>
      </c>
      <c r="B24" s="2" t="s">
        <v>198</v>
      </c>
      <c r="C24" s="13" t="s">
        <v>340</v>
      </c>
      <c r="D24" s="2" t="s">
        <v>341</v>
      </c>
      <c r="E24" s="2"/>
      <c r="F24" s="2"/>
      <c r="G24" s="2"/>
    </row>
    <row r="25" spans="1:7" ht="45" x14ac:dyDescent="0.25">
      <c r="A25" s="2" t="s">
        <v>199</v>
      </c>
      <c r="B25" s="2" t="s">
        <v>200</v>
      </c>
      <c r="C25" s="2" t="s">
        <v>201</v>
      </c>
      <c r="D25" s="2" t="s">
        <v>202</v>
      </c>
      <c r="E25" s="2"/>
      <c r="F25" s="2"/>
      <c r="G25" s="2"/>
    </row>
    <row r="26" spans="1:7" ht="60" x14ac:dyDescent="0.25">
      <c r="A26" s="2" t="s">
        <v>127</v>
      </c>
      <c r="B26" s="2" t="s">
        <v>203</v>
      </c>
      <c r="C26" s="2" t="s">
        <v>204</v>
      </c>
      <c r="D26" s="2" t="s">
        <v>205</v>
      </c>
      <c r="E26" s="2"/>
      <c r="F26" s="2"/>
      <c r="G26" s="2"/>
    </row>
    <row r="27" spans="1:7" ht="30" x14ac:dyDescent="0.25">
      <c r="A27" s="2" t="s">
        <v>206</v>
      </c>
      <c r="B27" s="2" t="s">
        <v>207</v>
      </c>
      <c r="C27" s="2" t="s">
        <v>208</v>
      </c>
      <c r="D27" s="2" t="s">
        <v>209</v>
      </c>
      <c r="E27" s="2"/>
      <c r="F27" s="2"/>
      <c r="G27" s="2"/>
    </row>
    <row r="28" spans="1:7" ht="45" x14ac:dyDescent="0.25">
      <c r="A28" s="2" t="s">
        <v>128</v>
      </c>
      <c r="B28" s="2" t="s">
        <v>210</v>
      </c>
      <c r="C28" s="19" t="s">
        <v>342</v>
      </c>
      <c r="D28" s="2" t="s">
        <v>343</v>
      </c>
      <c r="E28" s="2"/>
      <c r="F28" s="2"/>
      <c r="G28" s="2"/>
    </row>
    <row r="29" spans="1:7" ht="30" x14ac:dyDescent="0.25">
      <c r="A29" s="2" t="s">
        <v>211</v>
      </c>
      <c r="B29" s="2" t="s">
        <v>212</v>
      </c>
      <c r="C29" s="2" t="s">
        <v>213</v>
      </c>
      <c r="D29" s="2" t="s">
        <v>214</v>
      </c>
      <c r="E29" s="2"/>
      <c r="F29" s="2"/>
      <c r="G29" s="2"/>
    </row>
    <row r="30" spans="1:7" ht="45" x14ac:dyDescent="0.25">
      <c r="A30" s="2" t="s">
        <v>215</v>
      </c>
      <c r="B30" s="2" t="s">
        <v>216</v>
      </c>
      <c r="C30" s="2" t="s">
        <v>217</v>
      </c>
      <c r="D30" s="2" t="s">
        <v>218</v>
      </c>
      <c r="E30" s="2"/>
      <c r="F30" s="2"/>
      <c r="G30" s="2"/>
    </row>
    <row r="31" spans="1:7" ht="30" x14ac:dyDescent="0.25">
      <c r="A31" s="2" t="s">
        <v>219</v>
      </c>
      <c r="B31" s="2" t="s">
        <v>220</v>
      </c>
      <c r="C31" s="2" t="s">
        <v>221</v>
      </c>
      <c r="D31" s="2" t="s">
        <v>222</v>
      </c>
      <c r="E31" s="2"/>
      <c r="F31" s="2"/>
      <c r="G31" s="2"/>
    </row>
    <row r="32" spans="1:7" ht="45" x14ac:dyDescent="0.25">
      <c r="A32" s="2" t="s">
        <v>223</v>
      </c>
      <c r="B32" s="2" t="s">
        <v>224</v>
      </c>
      <c r="C32" s="2" t="s">
        <v>225</v>
      </c>
      <c r="D32" s="2" t="s">
        <v>226</v>
      </c>
      <c r="E32" s="2"/>
      <c r="F32" s="2"/>
      <c r="G32" s="2"/>
    </row>
    <row r="33" spans="1:7" ht="30" x14ac:dyDescent="0.25">
      <c r="A33" s="30" t="s">
        <v>129</v>
      </c>
      <c r="B33" s="100" t="s">
        <v>227</v>
      </c>
      <c r="C33" s="30" t="s">
        <v>228</v>
      </c>
      <c r="D33" s="30" t="s">
        <v>229</v>
      </c>
      <c r="E33" s="2"/>
      <c r="F33" s="2"/>
      <c r="G33" s="2"/>
    </row>
    <row r="35" spans="1:7" ht="30" x14ac:dyDescent="0.25">
      <c r="A35" s="24" t="s">
        <v>230</v>
      </c>
      <c r="B35" s="25"/>
      <c r="C35" s="25"/>
      <c r="D35" s="25"/>
      <c r="E35" s="25"/>
      <c r="F35" s="25"/>
      <c r="G35" s="25"/>
    </row>
    <row r="36" spans="1:7" x14ac:dyDescent="0.25">
      <c r="A36" s="26" t="s">
        <v>86</v>
      </c>
      <c r="B36" s="2" t="s">
        <v>231</v>
      </c>
      <c r="C36" s="2"/>
      <c r="D36" s="2"/>
      <c r="E36" s="2"/>
      <c r="F36" s="2"/>
      <c r="G36" s="2"/>
    </row>
    <row r="37" spans="1:7" x14ac:dyDescent="0.25">
      <c r="A37" s="26" t="s">
        <v>232</v>
      </c>
      <c r="B37" s="2" t="s">
        <v>233</v>
      </c>
      <c r="C37" s="2"/>
      <c r="D37" s="2"/>
      <c r="E37" s="2"/>
      <c r="F37" s="2"/>
      <c r="G37" s="2"/>
    </row>
    <row r="38" spans="1:7" x14ac:dyDescent="0.25">
      <c r="A38" s="26" t="s">
        <v>234</v>
      </c>
      <c r="B38" s="2" t="s">
        <v>235</v>
      </c>
      <c r="C38" s="2"/>
      <c r="D38" s="2"/>
      <c r="E38" s="2"/>
      <c r="F38" s="2"/>
      <c r="G38" s="2"/>
    </row>
    <row r="39" spans="1:7" ht="30" x14ac:dyDescent="0.25">
      <c r="A39" s="26" t="s">
        <v>236</v>
      </c>
      <c r="B39" s="2" t="s">
        <v>237</v>
      </c>
      <c r="C39" s="2"/>
      <c r="D39" s="2"/>
      <c r="E39" s="2"/>
      <c r="F39" s="2"/>
      <c r="G39" s="2"/>
    </row>
    <row r="40" spans="1:7" ht="45" x14ac:dyDescent="0.25">
      <c r="A40" s="26" t="s">
        <v>238</v>
      </c>
      <c r="B40" s="2" t="s">
        <v>239</v>
      </c>
      <c r="C40" s="2"/>
      <c r="D40" s="2"/>
      <c r="E40" s="2"/>
      <c r="F40" s="2"/>
      <c r="G40" s="2"/>
    </row>
    <row r="41" spans="1:7" ht="30" x14ac:dyDescent="0.25">
      <c r="A41" s="26" t="s">
        <v>240</v>
      </c>
      <c r="B41" s="2" t="s">
        <v>241</v>
      </c>
      <c r="C41" s="2"/>
      <c r="D41" s="2"/>
      <c r="E41" s="2"/>
      <c r="F41" s="2"/>
      <c r="G41" s="2"/>
    </row>
    <row r="42" spans="1:7" ht="30" x14ac:dyDescent="0.25">
      <c r="A42" s="26" t="s">
        <v>242</v>
      </c>
      <c r="B42" s="2" t="s">
        <v>243</v>
      </c>
      <c r="C42" s="2"/>
      <c r="D42" s="2"/>
      <c r="E42" s="2"/>
      <c r="F42" s="2"/>
      <c r="G42" s="2"/>
    </row>
    <row r="43" spans="1:7" ht="45" x14ac:dyDescent="0.25">
      <c r="A43" s="100" t="s">
        <v>244</v>
      </c>
      <c r="B43" s="31" t="s">
        <v>245</v>
      </c>
      <c r="C43" s="2"/>
      <c r="D43" s="2"/>
      <c r="E43" s="2"/>
      <c r="F43" s="2"/>
      <c r="G43" s="2"/>
    </row>
    <row r="44" spans="1:7" ht="30" x14ac:dyDescent="0.25">
      <c r="A44" s="26" t="s">
        <v>246</v>
      </c>
      <c r="B44" s="2" t="s">
        <v>247</v>
      </c>
      <c r="C44" s="2"/>
      <c r="D44" s="2"/>
      <c r="E44" s="2"/>
      <c r="F44" s="2"/>
      <c r="G44" s="2"/>
    </row>
    <row r="45" spans="1:7" ht="30" x14ac:dyDescent="0.25">
      <c r="A45" s="26" t="s">
        <v>248</v>
      </c>
      <c r="B45" s="2" t="s">
        <v>249</v>
      </c>
      <c r="C45" s="2"/>
      <c r="D45" s="2"/>
      <c r="E45" s="2"/>
      <c r="F45" s="2"/>
      <c r="G45" s="2"/>
    </row>
    <row r="46" spans="1:7" ht="45" x14ac:dyDescent="0.25">
      <c r="A46" s="101" t="s">
        <v>250</v>
      </c>
      <c r="B46" s="16" t="s">
        <v>251</v>
      </c>
      <c r="C46" s="2"/>
      <c r="D46" s="2"/>
      <c r="E46" s="2"/>
      <c r="F46" s="2"/>
      <c r="G46" s="2"/>
    </row>
    <row r="47" spans="1:7" ht="45" x14ac:dyDescent="0.25">
      <c r="A47" s="26" t="s">
        <v>252</v>
      </c>
      <c r="B47" s="2" t="s">
        <v>253</v>
      </c>
      <c r="C47" s="2"/>
      <c r="D47" s="2"/>
      <c r="E47" s="2"/>
      <c r="F47" s="2"/>
      <c r="G47" s="2"/>
    </row>
    <row r="49" spans="1:7" ht="30" x14ac:dyDescent="0.25">
      <c r="A49" s="104" t="s">
        <v>289</v>
      </c>
      <c r="B49" s="106"/>
      <c r="C49" s="106"/>
      <c r="D49" s="106"/>
      <c r="E49" s="106"/>
      <c r="F49" s="106"/>
      <c r="G49" s="106"/>
    </row>
    <row r="50" spans="1:7" x14ac:dyDescent="0.25">
      <c r="A50" s="107" t="s">
        <v>290</v>
      </c>
      <c r="B50" s="108" t="s">
        <v>291</v>
      </c>
      <c r="C50" s="109" t="s">
        <v>292</v>
      </c>
      <c r="D50" s="2"/>
      <c r="E50" s="2"/>
      <c r="F50" s="2"/>
      <c r="G50" s="2"/>
    </row>
    <row r="51" spans="1:7" ht="30" x14ac:dyDescent="0.25">
      <c r="A51" s="110" t="s">
        <v>293</v>
      </c>
      <c r="B51" s="37" t="s">
        <v>294</v>
      </c>
      <c r="C51" s="39"/>
      <c r="D51" s="2"/>
      <c r="E51" s="2"/>
      <c r="F51" s="2"/>
      <c r="G51" s="2"/>
    </row>
    <row r="52" spans="1:7" ht="30" x14ac:dyDescent="0.25">
      <c r="A52" s="110" t="s">
        <v>295</v>
      </c>
      <c r="B52" s="37" t="s">
        <v>296</v>
      </c>
      <c r="C52" s="39"/>
      <c r="D52" s="2"/>
      <c r="E52" s="2"/>
      <c r="F52" s="2"/>
      <c r="G52" s="2"/>
    </row>
    <row r="53" spans="1:7" x14ac:dyDescent="0.25">
      <c r="A53" s="110" t="s">
        <v>297</v>
      </c>
      <c r="B53" s="37" t="s">
        <v>298</v>
      </c>
      <c r="C53" s="39"/>
      <c r="D53" s="2"/>
      <c r="E53" s="2"/>
      <c r="F53" s="2"/>
      <c r="G53" s="2"/>
    </row>
    <row r="54" spans="1:7" ht="30" x14ac:dyDescent="0.25">
      <c r="A54" s="35" t="s">
        <v>299</v>
      </c>
      <c r="B54" s="37" t="s">
        <v>300</v>
      </c>
      <c r="C54" s="111">
        <v>10022.4</v>
      </c>
      <c r="D54" s="2"/>
      <c r="E54" s="2"/>
      <c r="F54" s="2"/>
      <c r="G54" s="2"/>
    </row>
    <row r="55" spans="1:7" ht="30" x14ac:dyDescent="0.25">
      <c r="A55" s="35" t="s">
        <v>301</v>
      </c>
      <c r="B55" s="37" t="s">
        <v>302</v>
      </c>
      <c r="C55" s="111">
        <v>6920.64</v>
      </c>
      <c r="D55" s="2"/>
      <c r="E55" s="2"/>
      <c r="F55" s="2"/>
      <c r="G55" s="2"/>
    </row>
    <row r="56" spans="1:7" ht="30" x14ac:dyDescent="0.25">
      <c r="A56" s="76" t="s">
        <v>303</v>
      </c>
      <c r="B56" s="112" t="s">
        <v>304</v>
      </c>
      <c r="C56" s="113">
        <v>16943.04</v>
      </c>
      <c r="D56" s="2"/>
      <c r="E56" s="2"/>
      <c r="F56" s="2"/>
      <c r="G56" s="2"/>
    </row>
    <row r="57" spans="1:7" x14ac:dyDescent="0.25">
      <c r="A57" s="114" t="s">
        <v>305</v>
      </c>
      <c r="B57" s="37"/>
      <c r="C57" s="115">
        <f>C56/12</f>
        <v>1411.92</v>
      </c>
      <c r="D57" s="2"/>
      <c r="E57" s="2"/>
      <c r="F57" s="2"/>
      <c r="G57" s="2"/>
    </row>
    <row r="58" spans="1:7" x14ac:dyDescent="0.25">
      <c r="A58" s="114" t="s">
        <v>306</v>
      </c>
      <c r="B58" s="37" t="s">
        <v>307</v>
      </c>
      <c r="C58" s="115">
        <f>C57/17</f>
        <v>83.054117647058831</v>
      </c>
      <c r="D58" s="2"/>
      <c r="E58" s="2"/>
      <c r="F58" s="2"/>
      <c r="G58" s="2"/>
    </row>
    <row r="59" spans="1:7" ht="60" x14ac:dyDescent="0.25">
      <c r="A59" s="41" t="s">
        <v>308</v>
      </c>
      <c r="B59" s="116" t="s">
        <v>605</v>
      </c>
      <c r="C59" s="117" t="s">
        <v>604</v>
      </c>
      <c r="D59" s="2"/>
      <c r="E59" s="2"/>
      <c r="F59" s="2"/>
      <c r="G59" s="2"/>
    </row>
    <row r="60" spans="1:7" x14ac:dyDescent="0.25">
      <c r="A60" s="16"/>
      <c r="B60" s="16"/>
      <c r="C60" s="16"/>
      <c r="D60" s="2"/>
      <c r="E60" s="2"/>
      <c r="F60" s="2"/>
      <c r="G60" s="2"/>
    </row>
    <row r="61" spans="1:7" x14ac:dyDescent="0.25">
      <c r="A61" s="17" t="s">
        <v>606</v>
      </c>
      <c r="B61" s="18"/>
      <c r="C61" s="18"/>
      <c r="D61" s="106"/>
      <c r="E61" s="106"/>
      <c r="F61" s="106"/>
      <c r="G61" s="106"/>
    </row>
    <row r="62" spans="1:7" x14ac:dyDescent="0.25">
      <c r="A62" s="155" t="s">
        <v>290</v>
      </c>
      <c r="B62" s="52" t="s">
        <v>291</v>
      </c>
      <c r="C62" s="53" t="s">
        <v>607</v>
      </c>
      <c r="D62" s="107" t="s">
        <v>309</v>
      </c>
      <c r="E62" s="118" t="s">
        <v>19</v>
      </c>
      <c r="F62" s="2"/>
      <c r="G62" s="2"/>
    </row>
    <row r="63" spans="1:7" ht="45" x14ac:dyDescent="0.25">
      <c r="A63" s="35" t="s">
        <v>608</v>
      </c>
      <c r="B63" s="37" t="s">
        <v>609</v>
      </c>
      <c r="C63" s="119" t="s">
        <v>610</v>
      </c>
      <c r="D63" s="110" t="s">
        <v>311</v>
      </c>
      <c r="E63" s="39" t="s">
        <v>312</v>
      </c>
      <c r="F63" s="2"/>
      <c r="G63" s="2"/>
    </row>
    <row r="64" spans="1:7" ht="30" x14ac:dyDescent="0.25">
      <c r="A64" s="35" t="s">
        <v>611</v>
      </c>
      <c r="B64" s="37" t="s">
        <v>612</v>
      </c>
      <c r="C64" s="119" t="s">
        <v>613</v>
      </c>
      <c r="D64" s="110"/>
      <c r="E64" s="39"/>
      <c r="F64" s="2"/>
      <c r="G64" s="2"/>
    </row>
    <row r="65" spans="1:7" ht="30" x14ac:dyDescent="0.25">
      <c r="A65" s="35" t="s">
        <v>614</v>
      </c>
      <c r="B65" s="37" t="s">
        <v>615</v>
      </c>
      <c r="C65" s="119" t="s">
        <v>616</v>
      </c>
      <c r="D65" s="110"/>
      <c r="E65" s="39"/>
      <c r="F65" s="2"/>
      <c r="G65" s="2"/>
    </row>
    <row r="66" spans="1:7" ht="30" x14ac:dyDescent="0.25">
      <c r="A66" s="35" t="s">
        <v>617</v>
      </c>
      <c r="B66" s="37" t="s">
        <v>618</v>
      </c>
      <c r="C66" s="119" t="s">
        <v>619</v>
      </c>
      <c r="D66" s="110"/>
      <c r="E66" s="39"/>
      <c r="F66" s="2"/>
      <c r="G66" s="2"/>
    </row>
    <row r="67" spans="1:7" ht="30" x14ac:dyDescent="0.25">
      <c r="A67" s="35" t="s">
        <v>620</v>
      </c>
      <c r="B67" s="37" t="s">
        <v>621</v>
      </c>
      <c r="C67" s="119" t="s">
        <v>622</v>
      </c>
      <c r="D67" s="110"/>
      <c r="E67" s="39"/>
      <c r="F67" s="2"/>
      <c r="G67" s="2"/>
    </row>
    <row r="68" spans="1:7" ht="30" x14ac:dyDescent="0.25">
      <c r="A68" s="35" t="s">
        <v>623</v>
      </c>
      <c r="B68" s="37" t="s">
        <v>624</v>
      </c>
      <c r="C68" s="119" t="s">
        <v>625</v>
      </c>
      <c r="D68" s="110"/>
      <c r="E68" s="39"/>
      <c r="F68" s="2"/>
      <c r="G68" s="2"/>
    </row>
    <row r="69" spans="1:7" ht="45" x14ac:dyDescent="0.25">
      <c r="A69" s="35" t="s">
        <v>626</v>
      </c>
      <c r="B69" s="37" t="s">
        <v>627</v>
      </c>
      <c r="C69" s="119" t="s">
        <v>628</v>
      </c>
      <c r="D69" s="110"/>
      <c r="E69" s="39"/>
      <c r="F69" s="2"/>
      <c r="G69" s="2"/>
    </row>
    <row r="70" spans="1:7" ht="45" x14ac:dyDescent="0.25">
      <c r="A70" s="156" t="s">
        <v>629</v>
      </c>
      <c r="B70" s="157" t="s">
        <v>630</v>
      </c>
      <c r="C70" s="158" t="s">
        <v>631</v>
      </c>
      <c r="D70" s="110"/>
      <c r="E70" s="39"/>
      <c r="F70" s="2"/>
      <c r="G70" s="2"/>
    </row>
    <row r="71" spans="1:7" ht="45" x14ac:dyDescent="0.25">
      <c r="A71" s="156" t="s">
        <v>632</v>
      </c>
      <c r="B71" s="157" t="s">
        <v>633</v>
      </c>
      <c r="C71" s="158" t="s">
        <v>634</v>
      </c>
      <c r="D71" s="110"/>
      <c r="E71" s="39"/>
      <c r="F71" s="2"/>
      <c r="G71" s="2"/>
    </row>
    <row r="72" spans="1:7" x14ac:dyDescent="0.25">
      <c r="A72" s="159" t="s">
        <v>313</v>
      </c>
      <c r="B72" s="160" t="s">
        <v>314</v>
      </c>
      <c r="C72" s="161" t="s">
        <v>310</v>
      </c>
      <c r="D72" s="37" t="s">
        <v>315</v>
      </c>
      <c r="E72" s="39"/>
      <c r="F72" s="2"/>
      <c r="G72" s="2"/>
    </row>
    <row r="73" spans="1:7" x14ac:dyDescent="0.25">
      <c r="A73" s="35" t="s">
        <v>316</v>
      </c>
      <c r="B73" s="37" t="s">
        <v>317</v>
      </c>
      <c r="C73" s="119" t="s">
        <v>310</v>
      </c>
      <c r="D73" s="37" t="s">
        <v>315</v>
      </c>
      <c r="E73" s="39"/>
      <c r="F73" s="2"/>
      <c r="G73" s="2"/>
    </row>
    <row r="74" spans="1:7" ht="45" x14ac:dyDescent="0.25">
      <c r="A74" s="35" t="s">
        <v>318</v>
      </c>
      <c r="B74" s="37" t="s">
        <v>319</v>
      </c>
      <c r="C74" s="58" t="s">
        <v>320</v>
      </c>
      <c r="D74" s="37" t="s">
        <v>321</v>
      </c>
      <c r="E74" s="39" t="s">
        <v>322</v>
      </c>
      <c r="F74" s="2"/>
      <c r="G74" s="2"/>
    </row>
    <row r="75" spans="1:7" ht="75" x14ac:dyDescent="0.25">
      <c r="A75" s="120" t="s">
        <v>323</v>
      </c>
      <c r="B75" s="42" t="s">
        <v>324</v>
      </c>
      <c r="C75" s="121" t="s">
        <v>325</v>
      </c>
      <c r="D75" s="42" t="s">
        <v>160</v>
      </c>
      <c r="E75" s="61" t="s">
        <v>326</v>
      </c>
      <c r="F75" s="2"/>
      <c r="G75" s="2"/>
    </row>
    <row r="76" spans="1:7" x14ac:dyDescent="0.25">
      <c r="A76" s="2"/>
      <c r="B76" s="2"/>
      <c r="C76" s="2"/>
      <c r="D76" s="2"/>
      <c r="E76" s="2"/>
      <c r="F76" s="2"/>
      <c r="G76" s="2"/>
    </row>
    <row r="77" spans="1:7" ht="30" x14ac:dyDescent="0.25">
      <c r="A77" s="17" t="s">
        <v>327</v>
      </c>
      <c r="B77" s="18"/>
      <c r="C77" s="18"/>
      <c r="D77" s="18"/>
      <c r="E77" s="18"/>
      <c r="F77" s="18"/>
      <c r="G77" s="18"/>
    </row>
    <row r="78" spans="1:7" ht="90" x14ac:dyDescent="0.25">
      <c r="A78" s="15" t="s">
        <v>328</v>
      </c>
      <c r="B78" s="2" t="s">
        <v>329</v>
      </c>
      <c r="C78" s="2"/>
      <c r="D78" s="2"/>
      <c r="E78" s="2"/>
      <c r="F78" s="2"/>
      <c r="G78" s="2"/>
    </row>
    <row r="79" spans="1:7" ht="75" x14ac:dyDescent="0.25">
      <c r="A79" s="15" t="s">
        <v>330</v>
      </c>
      <c r="B79" s="2" t="s">
        <v>331</v>
      </c>
      <c r="C79" s="2"/>
      <c r="D79" s="2"/>
      <c r="E79" s="2"/>
      <c r="F79" s="2"/>
      <c r="G79" s="2"/>
    </row>
    <row r="80" spans="1:7" ht="75" x14ac:dyDescent="0.25">
      <c r="A80" s="15" t="s">
        <v>332</v>
      </c>
      <c r="B80" s="2" t="s">
        <v>333</v>
      </c>
      <c r="C80" s="2"/>
      <c r="D80" s="2"/>
      <c r="E80" s="2"/>
      <c r="F80" s="2"/>
      <c r="G80" s="2"/>
    </row>
    <row r="81" spans="1:7" ht="105" x14ac:dyDescent="0.25">
      <c r="A81" s="15" t="s">
        <v>635</v>
      </c>
      <c r="B81" s="2" t="s">
        <v>636</v>
      </c>
      <c r="C81" s="2"/>
      <c r="D81" s="2"/>
      <c r="E81" s="2"/>
      <c r="F81" s="2"/>
      <c r="G81" s="2"/>
    </row>
    <row r="82" spans="1:7" ht="75" x14ac:dyDescent="0.25">
      <c r="A82" s="15" t="s">
        <v>334</v>
      </c>
      <c r="B82" s="2" t="s">
        <v>335</v>
      </c>
      <c r="C82" s="2"/>
      <c r="D82" s="2"/>
      <c r="E82" s="2"/>
      <c r="F82" s="2"/>
      <c r="G82" s="2"/>
    </row>
    <row r="83" spans="1:7" ht="90" x14ac:dyDescent="0.25">
      <c r="A83" s="27" t="s">
        <v>336</v>
      </c>
      <c r="B83" s="2" t="s">
        <v>337</v>
      </c>
      <c r="C83" s="2"/>
      <c r="D83" s="2"/>
      <c r="E83" s="2"/>
      <c r="F83" s="2"/>
      <c r="G83" s="2"/>
    </row>
    <row r="84" spans="1:7" ht="75" x14ac:dyDescent="0.25">
      <c r="A84" s="100" t="s">
        <v>338</v>
      </c>
      <c r="B84" s="30" t="s">
        <v>339</v>
      </c>
      <c r="C84" s="2"/>
      <c r="D84" s="2"/>
      <c r="E84" s="2"/>
      <c r="F84" s="2"/>
      <c r="G84" s="2"/>
    </row>
    <row r="85" spans="1:7" x14ac:dyDescent="0.25">
      <c r="A85" s="2"/>
      <c r="B85" s="2"/>
      <c r="C85" s="2"/>
      <c r="D85" s="2"/>
      <c r="E85" s="2"/>
      <c r="F85" s="2"/>
      <c r="G85" s="2"/>
    </row>
    <row r="86" spans="1:7" ht="30" x14ac:dyDescent="0.25">
      <c r="A86" s="20" t="s">
        <v>345</v>
      </c>
      <c r="B86" s="21"/>
      <c r="C86" s="21"/>
      <c r="D86" s="21"/>
      <c r="E86" s="21"/>
      <c r="F86" s="21"/>
      <c r="G86" s="21"/>
    </row>
    <row r="87" spans="1:7" ht="45" x14ac:dyDescent="0.25">
      <c r="A87" s="34" t="s">
        <v>163</v>
      </c>
      <c r="B87" s="13" t="s">
        <v>346</v>
      </c>
      <c r="C87" s="2" t="s">
        <v>347</v>
      </c>
      <c r="D87" s="2"/>
      <c r="E87" s="2"/>
      <c r="F87" s="2"/>
      <c r="G87" s="2"/>
    </row>
    <row r="88" spans="1:7" ht="45" x14ac:dyDescent="0.25">
      <c r="A88" s="34" t="s">
        <v>163</v>
      </c>
      <c r="B88" s="13" t="s">
        <v>348</v>
      </c>
      <c r="C88" s="2" t="s">
        <v>349</v>
      </c>
      <c r="D88" s="2"/>
      <c r="E88" s="2"/>
      <c r="F88" s="2"/>
      <c r="G88" s="2"/>
    </row>
    <row r="89" spans="1:7" ht="45" x14ac:dyDescent="0.25">
      <c r="A89" s="34" t="s">
        <v>163</v>
      </c>
      <c r="B89" s="13" t="s">
        <v>350</v>
      </c>
      <c r="C89" s="2" t="s">
        <v>351</v>
      </c>
      <c r="D89" s="2"/>
      <c r="E89" s="2"/>
      <c r="F89" s="2"/>
      <c r="G89" s="2"/>
    </row>
    <row r="90" spans="1:7" ht="45" x14ac:dyDescent="0.25">
      <c r="A90" s="34" t="s">
        <v>163</v>
      </c>
      <c r="B90" s="13" t="s">
        <v>352</v>
      </c>
      <c r="C90" s="2" t="s">
        <v>353</v>
      </c>
      <c r="D90" s="2"/>
      <c r="E90" s="2"/>
      <c r="F90" s="2"/>
      <c r="G90" s="2"/>
    </row>
    <row r="91" spans="1:7" ht="45" x14ac:dyDescent="0.25">
      <c r="A91" s="34" t="s">
        <v>163</v>
      </c>
      <c r="B91" s="13" t="s">
        <v>354</v>
      </c>
      <c r="C91" s="2" t="s">
        <v>355</v>
      </c>
      <c r="D91" s="2"/>
      <c r="E91" s="2"/>
      <c r="F91" s="2"/>
      <c r="G91" s="2"/>
    </row>
    <row r="92" spans="1:7" ht="60" x14ac:dyDescent="0.25">
      <c r="A92" s="34" t="s">
        <v>163</v>
      </c>
      <c r="B92" s="13" t="s">
        <v>356</v>
      </c>
      <c r="C92" s="2" t="s">
        <v>357</v>
      </c>
      <c r="D92" s="2"/>
      <c r="E92" s="2"/>
      <c r="F92" s="2"/>
      <c r="G92" s="2"/>
    </row>
    <row r="93" spans="1:7" ht="45" x14ac:dyDescent="0.25">
      <c r="A93" s="34" t="s">
        <v>163</v>
      </c>
      <c r="B93" s="13" t="s">
        <v>358</v>
      </c>
      <c r="C93" s="2" t="s">
        <v>359</v>
      </c>
      <c r="D93" s="2"/>
      <c r="E93" s="2"/>
      <c r="F93" s="2"/>
      <c r="G93" s="2"/>
    </row>
    <row r="94" spans="1:7" ht="45" x14ac:dyDescent="0.25">
      <c r="A94" s="34" t="s">
        <v>163</v>
      </c>
      <c r="B94" s="13" t="s">
        <v>360</v>
      </c>
      <c r="C94" s="2" t="s">
        <v>361</v>
      </c>
      <c r="D94" s="2"/>
      <c r="E94" s="2"/>
      <c r="F94" s="2"/>
      <c r="G94" s="2"/>
    </row>
    <row r="96" spans="1:7" ht="45" x14ac:dyDescent="0.25">
      <c r="A96" s="122" t="s">
        <v>362</v>
      </c>
      <c r="B96" s="106"/>
      <c r="C96" s="106"/>
      <c r="D96" s="106"/>
      <c r="E96" s="105"/>
      <c r="F96" s="105"/>
      <c r="G96" s="105"/>
    </row>
    <row r="97" spans="1:7" ht="15.75" x14ac:dyDescent="0.25">
      <c r="A97" s="133" t="s">
        <v>363</v>
      </c>
      <c r="B97" s="49" t="s">
        <v>364</v>
      </c>
      <c r="C97" s="49" t="s">
        <v>365</v>
      </c>
      <c r="D97" s="134" t="s">
        <v>19</v>
      </c>
    </row>
    <row r="98" spans="1:7" x14ac:dyDescent="0.25">
      <c r="A98" s="110" t="s">
        <v>366</v>
      </c>
      <c r="B98" s="123">
        <v>16943.04</v>
      </c>
      <c r="C98" s="123">
        <v>16943.04</v>
      </c>
      <c r="D98" s="39" t="s">
        <v>367</v>
      </c>
    </row>
    <row r="99" spans="1:7" ht="45" x14ac:dyDescent="0.25">
      <c r="A99" s="110" t="s">
        <v>368</v>
      </c>
      <c r="B99" s="124" t="s">
        <v>637</v>
      </c>
      <c r="C99" s="124" t="s">
        <v>637</v>
      </c>
      <c r="D99" s="39" t="s">
        <v>638</v>
      </c>
    </row>
    <row r="100" spans="1:7" x14ac:dyDescent="0.25">
      <c r="A100" s="110" t="s">
        <v>369</v>
      </c>
      <c r="B100" s="124" t="s">
        <v>370</v>
      </c>
      <c r="C100" s="125">
        <v>0</v>
      </c>
      <c r="D100" s="39" t="s">
        <v>371</v>
      </c>
    </row>
    <row r="101" spans="1:7" x14ac:dyDescent="0.25">
      <c r="A101" s="110" t="s">
        <v>372</v>
      </c>
      <c r="B101" s="125">
        <v>0</v>
      </c>
      <c r="C101" s="124" t="s">
        <v>373</v>
      </c>
      <c r="D101" s="39" t="s">
        <v>374</v>
      </c>
    </row>
    <row r="102" spans="1:7" x14ac:dyDescent="0.25">
      <c r="A102" s="110" t="s">
        <v>375</v>
      </c>
      <c r="B102" s="125">
        <v>0</v>
      </c>
      <c r="C102" s="124" t="s">
        <v>376</v>
      </c>
      <c r="D102" s="39" t="s">
        <v>377</v>
      </c>
    </row>
    <row r="103" spans="1:7" ht="30" x14ac:dyDescent="0.25">
      <c r="A103" s="110" t="s">
        <v>378</v>
      </c>
      <c r="B103" s="125">
        <v>0</v>
      </c>
      <c r="C103" s="123">
        <v>6000</v>
      </c>
      <c r="D103" s="39" t="s">
        <v>379</v>
      </c>
    </row>
    <row r="104" spans="1:7" ht="30" x14ac:dyDescent="0.25">
      <c r="A104" s="110" t="s">
        <v>380</v>
      </c>
      <c r="B104" s="125">
        <v>0</v>
      </c>
      <c r="C104" s="124" t="s">
        <v>381</v>
      </c>
      <c r="D104" s="39" t="s">
        <v>382</v>
      </c>
    </row>
    <row r="105" spans="1:7" ht="30" x14ac:dyDescent="0.25">
      <c r="A105" s="110" t="s">
        <v>383</v>
      </c>
      <c r="B105" s="125">
        <v>0</v>
      </c>
      <c r="C105" s="124" t="s">
        <v>384</v>
      </c>
      <c r="D105" s="39" t="s">
        <v>385</v>
      </c>
    </row>
    <row r="106" spans="1:7" ht="30" x14ac:dyDescent="0.25">
      <c r="A106" s="126" t="s">
        <v>386</v>
      </c>
      <c r="B106" s="127" t="s">
        <v>387</v>
      </c>
      <c r="C106" s="128" t="s">
        <v>387</v>
      </c>
      <c r="D106" s="129" t="s">
        <v>388</v>
      </c>
    </row>
    <row r="107" spans="1:7" ht="30" x14ac:dyDescent="0.25">
      <c r="A107" s="130" t="s">
        <v>389</v>
      </c>
      <c r="B107" s="131"/>
      <c r="C107" s="131"/>
      <c r="D107" s="132" t="s">
        <v>390</v>
      </c>
    </row>
    <row r="109" spans="1:7" ht="45" x14ac:dyDescent="0.25">
      <c r="A109" s="17" t="s">
        <v>541</v>
      </c>
      <c r="B109" s="18"/>
      <c r="C109" s="18"/>
      <c r="D109" s="18"/>
      <c r="E109" s="11"/>
      <c r="F109" s="11"/>
      <c r="G109" s="11"/>
    </row>
    <row r="110" spans="1:7" x14ac:dyDescent="0.25">
      <c r="A110" s="151" t="s">
        <v>45</v>
      </c>
      <c r="B110" s="152" t="s">
        <v>542</v>
      </c>
      <c r="C110" s="152" t="s">
        <v>543</v>
      </c>
      <c r="D110" s="153" t="s">
        <v>544</v>
      </c>
    </row>
    <row r="111" spans="1:7" ht="45" x14ac:dyDescent="0.25">
      <c r="A111" s="55">
        <v>1</v>
      </c>
      <c r="B111" s="102" t="s">
        <v>545</v>
      </c>
      <c r="C111" s="37" t="s">
        <v>546</v>
      </c>
      <c r="D111" s="39" t="s">
        <v>547</v>
      </c>
    </row>
    <row r="112" spans="1:7" ht="45" x14ac:dyDescent="0.25">
      <c r="A112" s="55">
        <v>2</v>
      </c>
      <c r="B112" s="37" t="s">
        <v>548</v>
      </c>
      <c r="C112" s="37" t="s">
        <v>549</v>
      </c>
      <c r="D112" s="39" t="s">
        <v>550</v>
      </c>
    </row>
    <row r="113" spans="1:4" ht="45" x14ac:dyDescent="0.25">
      <c r="A113" s="55">
        <v>3</v>
      </c>
      <c r="B113" s="37" t="s">
        <v>551</v>
      </c>
      <c r="C113" s="37" t="s">
        <v>552</v>
      </c>
      <c r="D113" s="39" t="s">
        <v>553</v>
      </c>
    </row>
    <row r="114" spans="1:4" ht="60" x14ac:dyDescent="0.25">
      <c r="A114" s="55">
        <v>4</v>
      </c>
      <c r="B114" s="37" t="s">
        <v>554</v>
      </c>
      <c r="C114" s="37" t="s">
        <v>555</v>
      </c>
      <c r="D114" s="39" t="s">
        <v>556</v>
      </c>
    </row>
    <row r="115" spans="1:4" ht="60" x14ac:dyDescent="0.25">
      <c r="A115" s="55">
        <v>5</v>
      </c>
      <c r="B115" s="37" t="s">
        <v>557</v>
      </c>
      <c r="C115" s="37" t="s">
        <v>558</v>
      </c>
      <c r="D115" s="39" t="s">
        <v>559</v>
      </c>
    </row>
    <row r="116" spans="1:4" ht="45" x14ac:dyDescent="0.25">
      <c r="A116" s="55">
        <v>6</v>
      </c>
      <c r="B116" s="37" t="s">
        <v>560</v>
      </c>
      <c r="C116" s="37" t="s">
        <v>561</v>
      </c>
      <c r="D116" s="39" t="s">
        <v>562</v>
      </c>
    </row>
    <row r="117" spans="1:4" ht="45" x14ac:dyDescent="0.25">
      <c r="A117" s="55">
        <v>7</v>
      </c>
      <c r="B117" s="37" t="s">
        <v>563</v>
      </c>
      <c r="C117" s="37" t="s">
        <v>564</v>
      </c>
      <c r="D117" s="39" t="s">
        <v>565</v>
      </c>
    </row>
    <row r="118" spans="1:4" ht="30" x14ac:dyDescent="0.25">
      <c r="A118" s="55">
        <v>8</v>
      </c>
      <c r="B118" s="37" t="s">
        <v>566</v>
      </c>
      <c r="C118" s="37" t="s">
        <v>567</v>
      </c>
      <c r="D118" s="39" t="s">
        <v>568</v>
      </c>
    </row>
    <row r="119" spans="1:4" ht="45" x14ac:dyDescent="0.25">
      <c r="A119" s="55">
        <v>9</v>
      </c>
      <c r="B119" s="37" t="s">
        <v>569</v>
      </c>
      <c r="C119" s="37" t="s">
        <v>570</v>
      </c>
      <c r="D119" s="39" t="s">
        <v>571</v>
      </c>
    </row>
    <row r="120" spans="1:4" ht="45" x14ac:dyDescent="0.25">
      <c r="A120" s="55">
        <v>10</v>
      </c>
      <c r="B120" s="37" t="s">
        <v>572</v>
      </c>
      <c r="C120" s="37" t="s">
        <v>573</v>
      </c>
      <c r="D120" s="39" t="s">
        <v>574</v>
      </c>
    </row>
    <row r="121" spans="1:4" ht="30" x14ac:dyDescent="0.25">
      <c r="A121" s="55">
        <v>11</v>
      </c>
      <c r="B121" s="37" t="s">
        <v>575</v>
      </c>
      <c r="C121" s="37" t="s">
        <v>576</v>
      </c>
      <c r="D121" s="39" t="s">
        <v>577</v>
      </c>
    </row>
    <row r="122" spans="1:4" ht="45" x14ac:dyDescent="0.25">
      <c r="A122" s="55">
        <v>12</v>
      </c>
      <c r="B122" s="37" t="s">
        <v>578</v>
      </c>
      <c r="C122" s="37" t="s">
        <v>579</v>
      </c>
      <c r="D122" s="39" t="s">
        <v>580</v>
      </c>
    </row>
    <row r="123" spans="1:4" ht="45" x14ac:dyDescent="0.25">
      <c r="A123" s="55">
        <v>13</v>
      </c>
      <c r="B123" s="37" t="s">
        <v>581</v>
      </c>
      <c r="C123" s="37" t="s">
        <v>582</v>
      </c>
      <c r="D123" s="39" t="s">
        <v>583</v>
      </c>
    </row>
    <row r="124" spans="1:4" ht="45" x14ac:dyDescent="0.25">
      <c r="A124" s="55">
        <v>14</v>
      </c>
      <c r="B124" s="37" t="s">
        <v>584</v>
      </c>
      <c r="C124" s="37" t="s">
        <v>585</v>
      </c>
      <c r="D124" s="39" t="s">
        <v>586</v>
      </c>
    </row>
    <row r="125" spans="1:4" ht="60" x14ac:dyDescent="0.25">
      <c r="A125" s="150">
        <v>15</v>
      </c>
      <c r="B125" s="46" t="s">
        <v>587</v>
      </c>
      <c r="C125" s="46" t="s">
        <v>588</v>
      </c>
      <c r="D125" s="47" t="s">
        <v>589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299CA-466F-47A5-9B02-6F1F6E1AE37E}">
  <dimension ref="A1:H18"/>
  <sheetViews>
    <sheetView workbookViewId="0">
      <pane ySplit="4" topLeftCell="A5" activePane="bottomLeft" state="frozen"/>
      <selection pane="bottomLeft" activeCell="B27" sqref="B27"/>
    </sheetView>
  </sheetViews>
  <sheetFormatPr defaultRowHeight="15" x14ac:dyDescent="0.25"/>
  <cols>
    <col min="1" max="2" width="22.85546875" customWidth="1"/>
    <col min="3" max="4" width="24.7109375" customWidth="1"/>
    <col min="5" max="7" width="26.7109375" customWidth="1"/>
    <col min="8" max="8" width="47.5703125" customWidth="1"/>
  </cols>
  <sheetData>
    <row r="1" spans="1:8" ht="18.75" x14ac:dyDescent="0.3">
      <c r="A1" s="4" t="s">
        <v>130</v>
      </c>
      <c r="B1" s="5"/>
      <c r="C1" s="5"/>
      <c r="D1" s="5"/>
      <c r="E1" s="5"/>
      <c r="F1" s="5"/>
      <c r="G1" s="5"/>
      <c r="H1" s="5"/>
    </row>
    <row r="2" spans="1:8" x14ac:dyDescent="0.25">
      <c r="A2" s="12" t="s">
        <v>131</v>
      </c>
      <c r="B2" s="10"/>
      <c r="C2" s="10"/>
      <c r="D2" s="10"/>
      <c r="E2" s="10"/>
      <c r="F2" s="10"/>
      <c r="G2" s="10"/>
      <c r="H2" s="10"/>
    </row>
    <row r="4" spans="1:8" ht="30" x14ac:dyDescent="0.25">
      <c r="A4" s="86" t="s">
        <v>132</v>
      </c>
      <c r="B4" s="87" t="s">
        <v>133</v>
      </c>
      <c r="C4" s="88" t="s">
        <v>134</v>
      </c>
      <c r="D4" s="88" t="s">
        <v>135</v>
      </c>
      <c r="E4" s="87" t="s">
        <v>136</v>
      </c>
      <c r="F4" s="88" t="s">
        <v>137</v>
      </c>
      <c r="G4" s="88" t="s">
        <v>138</v>
      </c>
      <c r="H4" s="89" t="s">
        <v>139</v>
      </c>
    </row>
    <row r="5" spans="1:8" ht="30" x14ac:dyDescent="0.25">
      <c r="A5" s="35" t="s">
        <v>140</v>
      </c>
      <c r="B5" s="37" t="s">
        <v>141</v>
      </c>
      <c r="C5" s="90" t="s">
        <v>142</v>
      </c>
      <c r="D5" s="91" t="s">
        <v>143</v>
      </c>
      <c r="E5" s="37" t="s">
        <v>144</v>
      </c>
      <c r="F5" s="92" t="s">
        <v>145</v>
      </c>
      <c r="G5" s="56" t="s">
        <v>146</v>
      </c>
      <c r="H5" s="39" t="s">
        <v>147</v>
      </c>
    </row>
    <row r="6" spans="1:8" x14ac:dyDescent="0.25">
      <c r="A6" s="35" t="s">
        <v>148</v>
      </c>
      <c r="B6" s="37" t="s">
        <v>149</v>
      </c>
      <c r="C6" s="93" t="s">
        <v>143</v>
      </c>
      <c r="D6" s="93" t="s">
        <v>143</v>
      </c>
      <c r="E6" s="37" t="s">
        <v>144</v>
      </c>
      <c r="F6" s="92" t="s">
        <v>150</v>
      </c>
      <c r="G6" s="56" t="s">
        <v>146</v>
      </c>
      <c r="H6" s="39" t="s">
        <v>151</v>
      </c>
    </row>
    <row r="7" spans="1:8" x14ac:dyDescent="0.25">
      <c r="A7" s="35" t="s">
        <v>152</v>
      </c>
      <c r="B7" s="37" t="s">
        <v>153</v>
      </c>
      <c r="C7" s="93" t="s">
        <v>143</v>
      </c>
      <c r="D7" s="93" t="s">
        <v>143</v>
      </c>
      <c r="E7" s="37" t="s">
        <v>144</v>
      </c>
      <c r="F7" s="92" t="s">
        <v>150</v>
      </c>
      <c r="G7" s="56" t="s">
        <v>146</v>
      </c>
      <c r="H7" s="39" t="s">
        <v>154</v>
      </c>
    </row>
    <row r="8" spans="1:8" x14ac:dyDescent="0.25">
      <c r="A8" s="35" t="s">
        <v>155</v>
      </c>
      <c r="B8" s="37" t="s">
        <v>153</v>
      </c>
      <c r="C8" s="93" t="s">
        <v>143</v>
      </c>
      <c r="D8" s="93" t="s">
        <v>143</v>
      </c>
      <c r="E8" s="37" t="s">
        <v>144</v>
      </c>
      <c r="F8" s="92" t="s">
        <v>150</v>
      </c>
      <c r="G8" s="56" t="s">
        <v>146</v>
      </c>
      <c r="H8" s="39" t="s">
        <v>154</v>
      </c>
    </row>
    <row r="9" spans="1:8" ht="30" x14ac:dyDescent="0.25">
      <c r="A9" s="44" t="s">
        <v>156</v>
      </c>
      <c r="B9" s="46" t="s">
        <v>157</v>
      </c>
      <c r="C9" s="94" t="s">
        <v>143</v>
      </c>
      <c r="D9" s="94" t="s">
        <v>143</v>
      </c>
      <c r="E9" s="46" t="s">
        <v>158</v>
      </c>
      <c r="F9" s="95" t="s">
        <v>159</v>
      </c>
      <c r="G9" s="96" t="s">
        <v>160</v>
      </c>
      <c r="H9" s="47" t="s">
        <v>161</v>
      </c>
    </row>
    <row r="10" spans="1:8" x14ac:dyDescent="0.25">
      <c r="A10" s="2"/>
      <c r="B10" s="2"/>
      <c r="C10" s="2"/>
      <c r="D10" s="2"/>
      <c r="E10" s="2"/>
      <c r="F10" s="2"/>
      <c r="G10" s="2"/>
      <c r="H10" s="2"/>
    </row>
    <row r="11" spans="1:8" ht="30" x14ac:dyDescent="0.25">
      <c r="A11" s="17" t="s">
        <v>162</v>
      </c>
      <c r="B11" s="18"/>
      <c r="C11" s="18"/>
      <c r="D11" s="18"/>
      <c r="E11" s="2"/>
      <c r="F11" s="2"/>
      <c r="G11" s="2"/>
      <c r="H11" s="2"/>
    </row>
    <row r="12" spans="1:8" ht="45" x14ac:dyDescent="0.25">
      <c r="A12" s="33" t="s">
        <v>163</v>
      </c>
      <c r="B12" s="2" t="s">
        <v>164</v>
      </c>
      <c r="C12" s="2"/>
      <c r="D12" s="2"/>
      <c r="E12" s="2"/>
      <c r="F12" s="2"/>
      <c r="G12" s="2"/>
      <c r="H12" s="2"/>
    </row>
    <row r="13" spans="1:8" ht="90" x14ac:dyDescent="0.25">
      <c r="A13" s="34" t="s">
        <v>163</v>
      </c>
      <c r="B13" s="2" t="s">
        <v>165</v>
      </c>
      <c r="C13" s="2"/>
      <c r="D13" s="2"/>
      <c r="E13" s="2"/>
      <c r="F13" s="2"/>
      <c r="G13" s="2"/>
      <c r="H13" s="2"/>
    </row>
    <row r="14" spans="1:8" ht="60" x14ac:dyDescent="0.25">
      <c r="A14" s="34" t="s">
        <v>163</v>
      </c>
      <c r="B14" s="2" t="s">
        <v>166</v>
      </c>
      <c r="C14" s="2"/>
      <c r="D14" s="2"/>
      <c r="E14" s="2"/>
      <c r="F14" s="2"/>
      <c r="G14" s="2"/>
      <c r="H14" s="2"/>
    </row>
    <row r="15" spans="1:8" ht="60" x14ac:dyDescent="0.25">
      <c r="A15" s="34" t="s">
        <v>163</v>
      </c>
      <c r="B15" s="2" t="s">
        <v>167</v>
      </c>
      <c r="C15" s="2"/>
      <c r="D15" s="2"/>
      <c r="E15" s="2"/>
      <c r="F15" s="2"/>
      <c r="G15" s="2"/>
      <c r="H15" s="2"/>
    </row>
    <row r="16" spans="1:8" ht="60" x14ac:dyDescent="0.25">
      <c r="A16" s="34" t="s">
        <v>163</v>
      </c>
      <c r="B16" s="2" t="s">
        <v>168</v>
      </c>
      <c r="C16" s="2"/>
      <c r="D16" s="2"/>
      <c r="E16" s="2"/>
      <c r="F16" s="2"/>
      <c r="G16" s="2"/>
      <c r="H16" s="2"/>
    </row>
    <row r="17" spans="1:8" ht="75" x14ac:dyDescent="0.25">
      <c r="A17" s="34" t="s">
        <v>163</v>
      </c>
      <c r="B17" s="2" t="s">
        <v>169</v>
      </c>
      <c r="C17" s="2"/>
      <c r="D17" s="2"/>
      <c r="E17" s="2"/>
      <c r="F17" s="2"/>
      <c r="G17" s="2"/>
      <c r="H17" s="2"/>
    </row>
    <row r="18" spans="1:8" ht="45" x14ac:dyDescent="0.25">
      <c r="A18" s="34" t="s">
        <v>163</v>
      </c>
      <c r="B18" s="2" t="s">
        <v>170</v>
      </c>
      <c r="C18" s="2"/>
      <c r="D18" s="2"/>
      <c r="E18" s="2"/>
      <c r="F18" s="2"/>
      <c r="G18" s="2"/>
      <c r="H18" s="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678BEF-46EA-4C62-92B7-9B3ADD424E8D}">
  <dimension ref="A1:H100"/>
  <sheetViews>
    <sheetView tabSelected="1" workbookViewId="0">
      <pane ySplit="4" topLeftCell="A6" activePane="bottomLeft" state="frozen"/>
      <selection pane="bottomLeft" activeCell="D7" sqref="D7"/>
    </sheetView>
  </sheetViews>
  <sheetFormatPr defaultRowHeight="15" x14ac:dyDescent="0.25"/>
  <cols>
    <col min="1" max="1" width="15.28515625" customWidth="1"/>
    <col min="2" max="3" width="28.5703125" customWidth="1"/>
    <col min="4" max="5" width="47.5703125" customWidth="1"/>
    <col min="6" max="6" width="38.140625" customWidth="1"/>
    <col min="7" max="8" width="19" customWidth="1"/>
  </cols>
  <sheetData>
    <row r="1" spans="1:8" ht="18.75" x14ac:dyDescent="0.3">
      <c r="A1" s="4" t="s">
        <v>171</v>
      </c>
      <c r="B1" s="5"/>
      <c r="C1" s="5"/>
      <c r="D1" s="5"/>
      <c r="E1" s="5"/>
      <c r="F1" s="5"/>
      <c r="G1" s="5"/>
      <c r="H1" s="5"/>
    </row>
    <row r="2" spans="1:8" x14ac:dyDescent="0.25">
      <c r="A2" s="6" t="s">
        <v>172</v>
      </c>
      <c r="B2" s="7"/>
      <c r="C2" s="7"/>
      <c r="D2" s="7"/>
      <c r="E2" s="7"/>
      <c r="F2" s="7"/>
      <c r="G2" s="7"/>
      <c r="H2" s="7"/>
    </row>
    <row r="4" spans="1:8" x14ac:dyDescent="0.25">
      <c r="A4" s="66" t="s">
        <v>1</v>
      </c>
      <c r="B4" s="67" t="s">
        <v>10</v>
      </c>
      <c r="C4" s="67" t="s">
        <v>173</v>
      </c>
      <c r="D4" s="67" t="s">
        <v>174</v>
      </c>
      <c r="E4" s="67" t="s">
        <v>19</v>
      </c>
      <c r="F4" s="67" t="s">
        <v>175</v>
      </c>
      <c r="G4" s="68" t="s">
        <v>15</v>
      </c>
      <c r="H4" s="69" t="s">
        <v>11</v>
      </c>
    </row>
    <row r="5" spans="1:8" ht="45" x14ac:dyDescent="0.25">
      <c r="A5" s="97">
        <v>46089</v>
      </c>
      <c r="B5" s="42" t="s">
        <v>176</v>
      </c>
      <c r="C5" s="42" t="s">
        <v>177</v>
      </c>
      <c r="D5" s="42" t="s">
        <v>178</v>
      </c>
      <c r="E5" s="42" t="s">
        <v>179</v>
      </c>
      <c r="F5" s="42" t="s">
        <v>180</v>
      </c>
      <c r="G5" s="42" t="s">
        <v>23</v>
      </c>
      <c r="H5" s="43" t="s">
        <v>21</v>
      </c>
    </row>
    <row r="6" spans="1:8" ht="300" customHeight="1" x14ac:dyDescent="0.25">
      <c r="A6" s="2" t="s">
        <v>184</v>
      </c>
      <c r="B6" s="2" t="s">
        <v>279</v>
      </c>
      <c r="C6" s="2" t="s">
        <v>280</v>
      </c>
      <c r="D6" s="2" t="s">
        <v>537</v>
      </c>
      <c r="E6" s="2" t="s">
        <v>538</v>
      </c>
      <c r="F6" s="2" t="s">
        <v>281</v>
      </c>
      <c r="G6" s="2" t="s">
        <v>23</v>
      </c>
      <c r="H6" s="2" t="s">
        <v>282</v>
      </c>
    </row>
    <row r="7" spans="1:8" ht="350.1" customHeight="1" x14ac:dyDescent="0.25">
      <c r="A7" s="99">
        <v>46087</v>
      </c>
      <c r="B7" s="13" t="s">
        <v>279</v>
      </c>
      <c r="C7" s="2" t="s">
        <v>192</v>
      </c>
      <c r="D7" s="149" t="s">
        <v>539</v>
      </c>
      <c r="E7" s="2" t="s">
        <v>540</v>
      </c>
      <c r="F7" s="13" t="s">
        <v>283</v>
      </c>
      <c r="G7" s="2" t="s">
        <v>23</v>
      </c>
      <c r="H7" s="2" t="s">
        <v>284</v>
      </c>
    </row>
    <row r="8" spans="1:8" ht="45" x14ac:dyDescent="0.25">
      <c r="A8" s="23" t="s">
        <v>517</v>
      </c>
      <c r="B8" s="23" t="s">
        <v>518</v>
      </c>
      <c r="C8" s="14" t="s">
        <v>519</v>
      </c>
      <c r="D8" s="147" t="s">
        <v>520</v>
      </c>
      <c r="E8" s="14" t="s">
        <v>521</v>
      </c>
      <c r="F8" s="147" t="s">
        <v>522</v>
      </c>
      <c r="G8" s="32" t="s">
        <v>523</v>
      </c>
      <c r="H8" s="23" t="s">
        <v>524</v>
      </c>
    </row>
    <row r="9" spans="1:8" ht="140.1" customHeight="1" x14ac:dyDescent="0.25">
      <c r="A9" s="23" t="s">
        <v>594</v>
      </c>
      <c r="B9" s="23" t="s">
        <v>279</v>
      </c>
      <c r="C9" s="14" t="s">
        <v>595</v>
      </c>
      <c r="D9" s="147" t="s">
        <v>596</v>
      </c>
      <c r="E9" s="14" t="s">
        <v>597</v>
      </c>
      <c r="F9" s="147" t="s">
        <v>522</v>
      </c>
      <c r="G9" s="32" t="s">
        <v>523</v>
      </c>
      <c r="H9" s="154" t="s">
        <v>598</v>
      </c>
    </row>
    <row r="10" spans="1:8" ht="45" x14ac:dyDescent="0.25">
      <c r="A10" s="22" t="s">
        <v>525</v>
      </c>
      <c r="B10" s="148"/>
      <c r="C10" s="148"/>
      <c r="D10" s="148"/>
      <c r="E10" s="148"/>
      <c r="F10" s="148"/>
      <c r="G10" s="148"/>
      <c r="H10" s="148"/>
    </row>
    <row r="11" spans="1:8" ht="195" x14ac:dyDescent="0.25">
      <c r="A11" s="2" t="s">
        <v>34</v>
      </c>
      <c r="B11" s="2" t="s">
        <v>279</v>
      </c>
      <c r="C11" s="2" t="s">
        <v>526</v>
      </c>
      <c r="D11" s="2" t="s">
        <v>527</v>
      </c>
      <c r="E11" s="2" t="s">
        <v>599</v>
      </c>
      <c r="F11" s="2"/>
      <c r="G11" s="2"/>
      <c r="H11" s="2" t="s">
        <v>528</v>
      </c>
    </row>
    <row r="12" spans="1:8" ht="30" x14ac:dyDescent="0.25">
      <c r="A12" s="2" t="s">
        <v>529</v>
      </c>
      <c r="B12" s="2" t="s">
        <v>518</v>
      </c>
      <c r="C12" s="2" t="s">
        <v>95</v>
      </c>
      <c r="D12" s="2" t="s">
        <v>530</v>
      </c>
      <c r="E12" s="2" t="s">
        <v>531</v>
      </c>
      <c r="F12" s="2"/>
      <c r="G12" s="2"/>
      <c r="H12" s="2" t="s">
        <v>532</v>
      </c>
    </row>
    <row r="13" spans="1:8" x14ac:dyDescent="0.25">
      <c r="A13" s="2"/>
      <c r="B13" s="2"/>
      <c r="C13" s="2"/>
      <c r="D13" s="2"/>
      <c r="E13" s="2"/>
      <c r="F13" s="2"/>
      <c r="G13" s="2"/>
      <c r="H13" s="2"/>
    </row>
    <row r="14" spans="1:8" x14ac:dyDescent="0.25">
      <c r="A14" s="2"/>
      <c r="B14" s="2"/>
      <c r="C14" s="2"/>
      <c r="D14" s="2"/>
      <c r="E14" s="2"/>
      <c r="F14" s="2"/>
      <c r="G14" s="2"/>
      <c r="H14" s="2"/>
    </row>
    <row r="15" spans="1:8" x14ac:dyDescent="0.25">
      <c r="A15" s="2"/>
      <c r="B15" s="2"/>
      <c r="C15" s="2"/>
      <c r="D15" s="2"/>
      <c r="E15" s="2"/>
      <c r="F15" s="2"/>
      <c r="G15" s="2"/>
      <c r="H15" s="2"/>
    </row>
    <row r="16" spans="1:8" x14ac:dyDescent="0.25">
      <c r="A16" s="2"/>
      <c r="B16" s="2"/>
      <c r="C16" s="2"/>
      <c r="D16" s="2"/>
      <c r="E16" s="2"/>
      <c r="F16" s="2"/>
      <c r="G16" s="2"/>
      <c r="H16" s="2"/>
    </row>
    <row r="17" spans="1:8" x14ac:dyDescent="0.25">
      <c r="A17" s="2"/>
      <c r="B17" s="2"/>
      <c r="C17" s="2"/>
      <c r="D17" s="2"/>
      <c r="E17" s="2"/>
      <c r="F17" s="2"/>
      <c r="G17" s="2"/>
      <c r="H17" s="2"/>
    </row>
    <row r="18" spans="1:8" x14ac:dyDescent="0.25">
      <c r="A18" s="2"/>
      <c r="B18" s="2"/>
      <c r="C18" s="2"/>
      <c r="D18" s="2"/>
      <c r="E18" s="2"/>
      <c r="F18" s="2"/>
      <c r="G18" s="2"/>
      <c r="H18" s="2"/>
    </row>
    <row r="19" spans="1:8" x14ac:dyDescent="0.25">
      <c r="A19" s="2"/>
      <c r="B19" s="2"/>
      <c r="C19" s="2"/>
      <c r="D19" s="2"/>
      <c r="E19" s="2"/>
      <c r="F19" s="2"/>
      <c r="G19" s="2"/>
      <c r="H19" s="2"/>
    </row>
    <row r="20" spans="1:8" x14ac:dyDescent="0.25">
      <c r="A20" s="2"/>
      <c r="B20" s="2"/>
      <c r="C20" s="2"/>
      <c r="D20" s="2"/>
      <c r="E20" s="2"/>
      <c r="F20" s="2"/>
      <c r="G20" s="2"/>
      <c r="H20" s="2"/>
    </row>
    <row r="21" spans="1:8" x14ac:dyDescent="0.25">
      <c r="A21" s="2"/>
      <c r="B21" s="2"/>
      <c r="C21" s="2"/>
      <c r="D21" s="2"/>
      <c r="E21" s="2"/>
      <c r="F21" s="2"/>
      <c r="G21" s="2"/>
      <c r="H21" s="2"/>
    </row>
    <row r="22" spans="1:8" x14ac:dyDescent="0.25">
      <c r="A22" s="2"/>
      <c r="B22" s="2"/>
      <c r="C22" s="2"/>
      <c r="D22" s="2"/>
      <c r="E22" s="2"/>
      <c r="F22" s="2"/>
      <c r="G22" s="2"/>
      <c r="H22" s="2"/>
    </row>
    <row r="23" spans="1:8" x14ac:dyDescent="0.25">
      <c r="A23" s="2"/>
      <c r="B23" s="2"/>
      <c r="C23" s="2"/>
      <c r="D23" s="2"/>
      <c r="E23" s="2"/>
      <c r="F23" s="2"/>
      <c r="G23" s="2"/>
      <c r="H23" s="2"/>
    </row>
    <row r="24" spans="1:8" x14ac:dyDescent="0.25">
      <c r="A24" s="2"/>
      <c r="B24" s="2"/>
      <c r="C24" s="2"/>
      <c r="D24" s="2"/>
      <c r="E24" s="2"/>
      <c r="F24" s="2"/>
      <c r="G24" s="2"/>
      <c r="H24" s="2"/>
    </row>
    <row r="25" spans="1:8" x14ac:dyDescent="0.25">
      <c r="A25" s="2"/>
      <c r="B25" s="2"/>
      <c r="C25" s="2"/>
      <c r="D25" s="2"/>
      <c r="E25" s="2"/>
      <c r="F25" s="2"/>
      <c r="G25" s="2"/>
      <c r="H25" s="2"/>
    </row>
    <row r="26" spans="1:8" x14ac:dyDescent="0.25">
      <c r="A26" s="2"/>
      <c r="B26" s="2"/>
      <c r="C26" s="2"/>
      <c r="D26" s="2"/>
      <c r="E26" s="2"/>
      <c r="F26" s="2"/>
      <c r="G26" s="2"/>
      <c r="H26" s="2"/>
    </row>
    <row r="27" spans="1:8" x14ac:dyDescent="0.25">
      <c r="A27" s="2"/>
      <c r="B27" s="2"/>
      <c r="C27" s="2"/>
      <c r="D27" s="2"/>
      <c r="E27" s="2"/>
      <c r="F27" s="2"/>
      <c r="G27" s="2"/>
      <c r="H27" s="2"/>
    </row>
    <row r="28" spans="1:8" x14ac:dyDescent="0.25">
      <c r="A28" s="2"/>
      <c r="B28" s="2"/>
      <c r="C28" s="2"/>
      <c r="D28" s="2"/>
      <c r="E28" s="2"/>
      <c r="F28" s="2"/>
      <c r="G28" s="2"/>
      <c r="H28" s="2"/>
    </row>
    <row r="29" spans="1:8" x14ac:dyDescent="0.25">
      <c r="A29" s="2"/>
      <c r="B29" s="2"/>
      <c r="C29" s="2"/>
      <c r="D29" s="2"/>
      <c r="E29" s="2"/>
      <c r="F29" s="2"/>
      <c r="G29" s="2"/>
      <c r="H29" s="2"/>
    </row>
    <row r="30" spans="1:8" x14ac:dyDescent="0.25">
      <c r="A30" s="2"/>
      <c r="B30" s="2"/>
      <c r="C30" s="2"/>
      <c r="D30" s="2"/>
      <c r="E30" s="2"/>
      <c r="F30" s="2"/>
      <c r="G30" s="2"/>
      <c r="H30" s="2"/>
    </row>
    <row r="31" spans="1:8" x14ac:dyDescent="0.25">
      <c r="A31" s="2"/>
      <c r="B31" s="2"/>
      <c r="C31" s="2"/>
      <c r="D31" s="2"/>
      <c r="E31" s="2"/>
      <c r="F31" s="2"/>
      <c r="G31" s="2"/>
      <c r="H31" s="2"/>
    </row>
    <row r="32" spans="1:8" x14ac:dyDescent="0.25">
      <c r="A32" s="2"/>
      <c r="B32" s="2"/>
      <c r="C32" s="2"/>
      <c r="D32" s="2"/>
      <c r="E32" s="2"/>
      <c r="F32" s="2"/>
      <c r="G32" s="2"/>
      <c r="H32" s="2"/>
    </row>
    <row r="33" spans="1:8" x14ac:dyDescent="0.25">
      <c r="A33" s="2"/>
      <c r="B33" s="2"/>
      <c r="C33" s="2"/>
      <c r="D33" s="2"/>
      <c r="E33" s="2"/>
      <c r="F33" s="2"/>
      <c r="G33" s="2"/>
      <c r="H33" s="2"/>
    </row>
    <row r="34" spans="1:8" x14ac:dyDescent="0.25">
      <c r="A34" s="2"/>
      <c r="B34" s="2"/>
      <c r="C34" s="2"/>
      <c r="D34" s="2"/>
      <c r="E34" s="2"/>
      <c r="F34" s="2"/>
      <c r="G34" s="2"/>
      <c r="H34" s="2"/>
    </row>
    <row r="35" spans="1:8" x14ac:dyDescent="0.25">
      <c r="A35" s="2"/>
      <c r="B35" s="2"/>
      <c r="C35" s="2"/>
      <c r="D35" s="2"/>
      <c r="E35" s="2"/>
      <c r="F35" s="2"/>
      <c r="G35" s="2"/>
      <c r="H35" s="2"/>
    </row>
    <row r="36" spans="1:8" x14ac:dyDescent="0.25">
      <c r="A36" s="2"/>
      <c r="B36" s="2"/>
      <c r="C36" s="2"/>
      <c r="D36" s="2"/>
      <c r="E36" s="2"/>
      <c r="F36" s="2"/>
      <c r="G36" s="2"/>
      <c r="H36" s="2"/>
    </row>
    <row r="37" spans="1:8" x14ac:dyDescent="0.25">
      <c r="A37" s="2"/>
      <c r="B37" s="2"/>
      <c r="C37" s="2"/>
      <c r="D37" s="2"/>
      <c r="E37" s="2"/>
      <c r="F37" s="2"/>
      <c r="G37" s="2"/>
      <c r="H37" s="2"/>
    </row>
    <row r="38" spans="1:8" x14ac:dyDescent="0.25">
      <c r="A38" s="2"/>
      <c r="B38" s="2"/>
      <c r="C38" s="2"/>
      <c r="D38" s="2"/>
      <c r="E38" s="2"/>
      <c r="F38" s="2"/>
      <c r="G38" s="2"/>
      <c r="H38" s="2"/>
    </row>
    <row r="39" spans="1:8" x14ac:dyDescent="0.25">
      <c r="A39" s="2"/>
      <c r="B39" s="2"/>
      <c r="C39" s="2"/>
      <c r="D39" s="2"/>
      <c r="E39" s="2"/>
      <c r="F39" s="2"/>
      <c r="G39" s="2"/>
      <c r="H39" s="2"/>
    </row>
    <row r="40" spans="1:8" x14ac:dyDescent="0.25">
      <c r="A40" s="2"/>
      <c r="B40" s="2"/>
      <c r="C40" s="2"/>
      <c r="D40" s="2"/>
      <c r="E40" s="2"/>
      <c r="F40" s="2"/>
      <c r="G40" s="2"/>
      <c r="H40" s="2"/>
    </row>
    <row r="41" spans="1:8" x14ac:dyDescent="0.25">
      <c r="A41" s="2"/>
      <c r="B41" s="2"/>
      <c r="C41" s="2"/>
      <c r="D41" s="2"/>
      <c r="E41" s="2"/>
      <c r="F41" s="2"/>
      <c r="G41" s="2"/>
      <c r="H41" s="2"/>
    </row>
    <row r="42" spans="1:8" x14ac:dyDescent="0.25">
      <c r="A42" s="2"/>
      <c r="B42" s="2"/>
      <c r="C42" s="2"/>
      <c r="D42" s="2"/>
      <c r="E42" s="2"/>
      <c r="F42" s="2"/>
      <c r="G42" s="2"/>
      <c r="H42" s="2"/>
    </row>
    <row r="43" spans="1:8" x14ac:dyDescent="0.25">
      <c r="A43" s="2"/>
      <c r="B43" s="2"/>
      <c r="C43" s="2"/>
      <c r="D43" s="2"/>
      <c r="E43" s="2"/>
      <c r="F43" s="2"/>
      <c r="G43" s="2"/>
      <c r="H43" s="2"/>
    </row>
    <row r="44" spans="1:8" x14ac:dyDescent="0.25">
      <c r="A44" s="2"/>
      <c r="B44" s="2"/>
      <c r="C44" s="2"/>
      <c r="D44" s="2"/>
      <c r="E44" s="2"/>
      <c r="F44" s="2"/>
      <c r="G44" s="2"/>
      <c r="H44" s="2"/>
    </row>
    <row r="45" spans="1:8" x14ac:dyDescent="0.25">
      <c r="A45" s="2"/>
      <c r="B45" s="2"/>
      <c r="C45" s="2"/>
      <c r="D45" s="2"/>
      <c r="E45" s="2"/>
      <c r="F45" s="2"/>
      <c r="G45" s="2"/>
      <c r="H45" s="2"/>
    </row>
    <row r="46" spans="1:8" x14ac:dyDescent="0.25">
      <c r="A46" s="2"/>
      <c r="B46" s="2"/>
      <c r="C46" s="2"/>
      <c r="D46" s="2"/>
      <c r="E46" s="2"/>
      <c r="F46" s="2"/>
      <c r="G46" s="2"/>
      <c r="H46" s="2"/>
    </row>
    <row r="47" spans="1:8" x14ac:dyDescent="0.25">
      <c r="A47" s="2"/>
      <c r="B47" s="2"/>
      <c r="C47" s="2"/>
      <c r="D47" s="2"/>
      <c r="E47" s="2"/>
      <c r="F47" s="2"/>
      <c r="G47" s="2"/>
      <c r="H47" s="2"/>
    </row>
    <row r="48" spans="1:8" x14ac:dyDescent="0.25">
      <c r="A48" s="2"/>
      <c r="B48" s="2"/>
      <c r="C48" s="2"/>
      <c r="D48" s="2"/>
      <c r="E48" s="2"/>
      <c r="F48" s="2"/>
      <c r="G48" s="2"/>
      <c r="H48" s="2"/>
    </row>
    <row r="49" spans="1:8" x14ac:dyDescent="0.25">
      <c r="A49" s="2"/>
      <c r="B49" s="2"/>
      <c r="C49" s="2"/>
      <c r="D49" s="2"/>
      <c r="E49" s="2"/>
      <c r="F49" s="2"/>
      <c r="G49" s="2"/>
      <c r="H49" s="2"/>
    </row>
    <row r="50" spans="1:8" x14ac:dyDescent="0.25">
      <c r="A50" s="2"/>
      <c r="B50" s="2"/>
      <c r="C50" s="2"/>
      <c r="D50" s="2"/>
      <c r="E50" s="2"/>
      <c r="F50" s="2"/>
      <c r="G50" s="2"/>
      <c r="H50" s="2"/>
    </row>
    <row r="51" spans="1:8" x14ac:dyDescent="0.25">
      <c r="A51" s="2"/>
      <c r="B51" s="2"/>
      <c r="C51" s="2"/>
      <c r="D51" s="2"/>
      <c r="E51" s="2"/>
      <c r="F51" s="2"/>
      <c r="G51" s="2"/>
      <c r="H51" s="2"/>
    </row>
    <row r="52" spans="1:8" x14ac:dyDescent="0.25">
      <c r="A52" s="2"/>
      <c r="B52" s="2"/>
      <c r="C52" s="2"/>
      <c r="D52" s="2"/>
      <c r="E52" s="2"/>
      <c r="F52" s="2"/>
      <c r="G52" s="2"/>
      <c r="H52" s="2"/>
    </row>
    <row r="53" spans="1:8" x14ac:dyDescent="0.25">
      <c r="A53" s="2"/>
      <c r="B53" s="2"/>
      <c r="C53" s="2"/>
      <c r="D53" s="2"/>
      <c r="E53" s="2"/>
      <c r="F53" s="2"/>
      <c r="G53" s="2"/>
      <c r="H53" s="2"/>
    </row>
    <row r="54" spans="1:8" x14ac:dyDescent="0.25">
      <c r="A54" s="2"/>
      <c r="B54" s="2"/>
      <c r="C54" s="2"/>
      <c r="D54" s="2"/>
      <c r="E54" s="2"/>
      <c r="F54" s="2"/>
      <c r="G54" s="2"/>
      <c r="H54" s="2"/>
    </row>
    <row r="55" spans="1:8" x14ac:dyDescent="0.25">
      <c r="A55" s="2"/>
      <c r="B55" s="2"/>
      <c r="C55" s="2"/>
      <c r="D55" s="2"/>
      <c r="E55" s="2"/>
      <c r="F55" s="2"/>
      <c r="G55" s="2"/>
      <c r="H55" s="2"/>
    </row>
    <row r="56" spans="1:8" x14ac:dyDescent="0.25">
      <c r="A56" s="2"/>
      <c r="B56" s="2"/>
      <c r="C56" s="2"/>
      <c r="D56" s="2"/>
      <c r="E56" s="2"/>
      <c r="F56" s="2"/>
      <c r="G56" s="2"/>
      <c r="H56" s="2"/>
    </row>
    <row r="57" spans="1:8" x14ac:dyDescent="0.25">
      <c r="A57" s="2"/>
      <c r="B57" s="2"/>
      <c r="C57" s="2"/>
      <c r="D57" s="2"/>
      <c r="E57" s="2"/>
      <c r="F57" s="2"/>
      <c r="G57" s="2"/>
      <c r="H57" s="2"/>
    </row>
    <row r="58" spans="1:8" x14ac:dyDescent="0.25">
      <c r="A58" s="2"/>
      <c r="B58" s="2"/>
      <c r="C58" s="2"/>
      <c r="D58" s="2"/>
      <c r="E58" s="2"/>
      <c r="F58" s="2"/>
      <c r="G58" s="2"/>
      <c r="H58" s="2"/>
    </row>
    <row r="59" spans="1:8" x14ac:dyDescent="0.25">
      <c r="A59" s="2"/>
      <c r="B59" s="2"/>
      <c r="C59" s="2"/>
      <c r="D59" s="2"/>
      <c r="E59" s="2"/>
      <c r="F59" s="2"/>
      <c r="G59" s="2"/>
      <c r="H59" s="2"/>
    </row>
    <row r="60" spans="1:8" x14ac:dyDescent="0.25">
      <c r="A60" s="2"/>
      <c r="B60" s="2"/>
      <c r="C60" s="2"/>
      <c r="D60" s="2"/>
      <c r="E60" s="2"/>
      <c r="F60" s="2"/>
      <c r="G60" s="2"/>
      <c r="H60" s="2"/>
    </row>
    <row r="61" spans="1:8" x14ac:dyDescent="0.25">
      <c r="A61" s="2"/>
      <c r="B61" s="2"/>
      <c r="C61" s="2"/>
      <c r="D61" s="2"/>
      <c r="E61" s="2"/>
      <c r="F61" s="2"/>
      <c r="G61" s="2"/>
      <c r="H61" s="2"/>
    </row>
    <row r="62" spans="1:8" x14ac:dyDescent="0.25">
      <c r="A62" s="2"/>
      <c r="B62" s="2"/>
      <c r="C62" s="2"/>
      <c r="D62" s="2"/>
      <c r="E62" s="2"/>
      <c r="F62" s="2"/>
      <c r="G62" s="2"/>
      <c r="H62" s="2"/>
    </row>
    <row r="63" spans="1:8" x14ac:dyDescent="0.25">
      <c r="A63" s="2"/>
      <c r="B63" s="2"/>
      <c r="C63" s="2"/>
      <c r="D63" s="2"/>
      <c r="E63" s="2"/>
      <c r="F63" s="2"/>
      <c r="G63" s="2"/>
      <c r="H63" s="2"/>
    </row>
    <row r="64" spans="1:8" x14ac:dyDescent="0.25">
      <c r="A64" s="2"/>
      <c r="B64" s="2"/>
      <c r="C64" s="2"/>
      <c r="D64" s="2"/>
      <c r="E64" s="2"/>
      <c r="F64" s="2"/>
      <c r="G64" s="2"/>
      <c r="H64" s="2"/>
    </row>
    <row r="65" spans="1:8" x14ac:dyDescent="0.25">
      <c r="A65" s="2"/>
      <c r="B65" s="2"/>
      <c r="C65" s="2"/>
      <c r="D65" s="2"/>
      <c r="E65" s="2"/>
      <c r="F65" s="2"/>
      <c r="G65" s="2"/>
      <c r="H65" s="2"/>
    </row>
    <row r="66" spans="1:8" x14ac:dyDescent="0.25">
      <c r="A66" s="2"/>
      <c r="B66" s="2"/>
      <c r="C66" s="2"/>
      <c r="D66" s="2"/>
      <c r="E66" s="2"/>
      <c r="F66" s="2"/>
      <c r="G66" s="2"/>
      <c r="H66" s="2"/>
    </row>
    <row r="67" spans="1:8" x14ac:dyDescent="0.25">
      <c r="A67" s="2"/>
      <c r="B67" s="2"/>
      <c r="C67" s="2"/>
      <c r="D67" s="2"/>
      <c r="E67" s="2"/>
      <c r="F67" s="2"/>
      <c r="G67" s="2"/>
      <c r="H67" s="2"/>
    </row>
    <row r="68" spans="1:8" x14ac:dyDescent="0.25">
      <c r="A68" s="2"/>
      <c r="B68" s="2"/>
      <c r="C68" s="2"/>
      <c r="D68" s="2"/>
      <c r="E68" s="2"/>
      <c r="F68" s="2"/>
      <c r="G68" s="2"/>
      <c r="H68" s="2"/>
    </row>
    <row r="69" spans="1:8" x14ac:dyDescent="0.25">
      <c r="A69" s="2"/>
      <c r="B69" s="2"/>
      <c r="C69" s="2"/>
      <c r="D69" s="2"/>
      <c r="E69" s="2"/>
      <c r="F69" s="2"/>
      <c r="G69" s="2"/>
      <c r="H69" s="2"/>
    </row>
    <row r="70" spans="1:8" x14ac:dyDescent="0.25">
      <c r="A70" s="2"/>
      <c r="B70" s="2"/>
      <c r="C70" s="2"/>
      <c r="D70" s="2"/>
      <c r="E70" s="2"/>
      <c r="F70" s="2"/>
      <c r="G70" s="2"/>
      <c r="H70" s="2"/>
    </row>
    <row r="71" spans="1:8" x14ac:dyDescent="0.25">
      <c r="A71" s="2"/>
      <c r="B71" s="2"/>
      <c r="C71" s="2"/>
      <c r="D71" s="2"/>
      <c r="E71" s="2"/>
      <c r="F71" s="2"/>
      <c r="G71" s="2"/>
      <c r="H71" s="2"/>
    </row>
    <row r="72" spans="1:8" x14ac:dyDescent="0.25">
      <c r="A72" s="2"/>
      <c r="B72" s="2"/>
      <c r="C72" s="2"/>
      <c r="D72" s="2"/>
      <c r="E72" s="2"/>
      <c r="F72" s="2"/>
      <c r="G72" s="2"/>
      <c r="H72" s="2"/>
    </row>
    <row r="73" spans="1:8" x14ac:dyDescent="0.25">
      <c r="A73" s="2"/>
      <c r="B73" s="2"/>
      <c r="C73" s="2"/>
      <c r="D73" s="2"/>
      <c r="E73" s="2"/>
      <c r="F73" s="2"/>
      <c r="G73" s="2"/>
      <c r="H73" s="2"/>
    </row>
    <row r="74" spans="1:8" x14ac:dyDescent="0.25">
      <c r="A74" s="2"/>
      <c r="B74" s="2"/>
      <c r="C74" s="2"/>
      <c r="D74" s="2"/>
      <c r="E74" s="2"/>
      <c r="F74" s="2"/>
      <c r="G74" s="2"/>
      <c r="H74" s="2"/>
    </row>
    <row r="75" spans="1:8" x14ac:dyDescent="0.25">
      <c r="A75" s="2"/>
      <c r="B75" s="2"/>
      <c r="C75" s="2"/>
      <c r="D75" s="2"/>
      <c r="E75" s="2"/>
      <c r="F75" s="2"/>
      <c r="G75" s="2"/>
      <c r="H75" s="2"/>
    </row>
    <row r="76" spans="1:8" x14ac:dyDescent="0.25">
      <c r="A76" s="2"/>
      <c r="B76" s="2"/>
      <c r="C76" s="2"/>
      <c r="D76" s="2"/>
      <c r="E76" s="2"/>
      <c r="F76" s="2"/>
      <c r="G76" s="2"/>
      <c r="H76" s="2"/>
    </row>
    <row r="77" spans="1:8" x14ac:dyDescent="0.25">
      <c r="A77" s="2"/>
      <c r="B77" s="2"/>
      <c r="C77" s="2"/>
      <c r="D77" s="2"/>
      <c r="E77" s="2"/>
      <c r="F77" s="2"/>
      <c r="G77" s="2"/>
      <c r="H77" s="2"/>
    </row>
    <row r="78" spans="1:8" x14ac:dyDescent="0.25">
      <c r="A78" s="2"/>
      <c r="B78" s="2"/>
      <c r="C78" s="2"/>
      <c r="D78" s="2"/>
      <c r="E78" s="2"/>
      <c r="F78" s="2"/>
      <c r="G78" s="2"/>
      <c r="H78" s="2"/>
    </row>
    <row r="79" spans="1:8" x14ac:dyDescent="0.25">
      <c r="A79" s="2"/>
      <c r="B79" s="2"/>
      <c r="C79" s="2"/>
      <c r="D79" s="2"/>
      <c r="E79" s="2"/>
      <c r="F79" s="2"/>
      <c r="G79" s="2"/>
      <c r="H79" s="2"/>
    </row>
    <row r="80" spans="1:8" x14ac:dyDescent="0.25">
      <c r="A80" s="2"/>
      <c r="B80" s="2"/>
      <c r="C80" s="2"/>
      <c r="D80" s="2"/>
      <c r="E80" s="2"/>
      <c r="F80" s="2"/>
      <c r="G80" s="2"/>
      <c r="H80" s="2"/>
    </row>
    <row r="81" spans="1:8" x14ac:dyDescent="0.25">
      <c r="A81" s="2"/>
      <c r="B81" s="2"/>
      <c r="C81" s="2"/>
      <c r="D81" s="2"/>
      <c r="E81" s="2"/>
      <c r="F81" s="2"/>
      <c r="G81" s="2"/>
      <c r="H81" s="2"/>
    </row>
    <row r="82" spans="1:8" x14ac:dyDescent="0.25">
      <c r="A82" s="2"/>
      <c r="B82" s="2"/>
      <c r="C82" s="2"/>
      <c r="D82" s="2"/>
      <c r="E82" s="2"/>
      <c r="F82" s="2"/>
      <c r="G82" s="2"/>
      <c r="H82" s="2"/>
    </row>
    <row r="83" spans="1:8" x14ac:dyDescent="0.25">
      <c r="A83" s="2"/>
      <c r="B83" s="2"/>
      <c r="C83" s="2"/>
      <c r="D83" s="2"/>
      <c r="E83" s="2"/>
      <c r="F83" s="2"/>
      <c r="G83" s="2"/>
      <c r="H83" s="2"/>
    </row>
    <row r="84" spans="1:8" x14ac:dyDescent="0.25">
      <c r="A84" s="2"/>
      <c r="B84" s="2"/>
      <c r="C84" s="2"/>
      <c r="D84" s="2"/>
      <c r="E84" s="2"/>
      <c r="F84" s="2"/>
      <c r="G84" s="2"/>
      <c r="H84" s="2"/>
    </row>
    <row r="85" spans="1:8" x14ac:dyDescent="0.25">
      <c r="A85" s="2"/>
      <c r="B85" s="2"/>
      <c r="C85" s="2"/>
      <c r="D85" s="2"/>
      <c r="E85" s="2"/>
      <c r="F85" s="2"/>
      <c r="G85" s="2"/>
      <c r="H85" s="2"/>
    </row>
    <row r="86" spans="1:8" x14ac:dyDescent="0.25">
      <c r="A86" s="2"/>
      <c r="B86" s="2"/>
      <c r="C86" s="2"/>
      <c r="D86" s="2"/>
      <c r="E86" s="2"/>
      <c r="F86" s="2"/>
      <c r="G86" s="2"/>
      <c r="H86" s="2"/>
    </row>
    <row r="87" spans="1:8" x14ac:dyDescent="0.25">
      <c r="A87" s="2"/>
      <c r="B87" s="2"/>
      <c r="C87" s="2"/>
      <c r="D87" s="2"/>
      <c r="E87" s="2"/>
      <c r="F87" s="2"/>
      <c r="G87" s="2"/>
      <c r="H87" s="2"/>
    </row>
    <row r="88" spans="1:8" x14ac:dyDescent="0.25">
      <c r="A88" s="2"/>
      <c r="B88" s="2"/>
      <c r="C88" s="2"/>
      <c r="D88" s="2"/>
      <c r="E88" s="2"/>
      <c r="F88" s="2"/>
      <c r="G88" s="2"/>
      <c r="H88" s="2"/>
    </row>
    <row r="89" spans="1:8" x14ac:dyDescent="0.25">
      <c r="A89" s="2"/>
      <c r="B89" s="2"/>
      <c r="C89" s="2"/>
      <c r="D89" s="2"/>
      <c r="E89" s="2"/>
      <c r="F89" s="2"/>
      <c r="G89" s="2"/>
      <c r="H89" s="2"/>
    </row>
    <row r="90" spans="1:8" x14ac:dyDescent="0.25">
      <c r="A90" s="2"/>
      <c r="B90" s="2"/>
      <c r="C90" s="2"/>
      <c r="D90" s="2"/>
      <c r="E90" s="2"/>
      <c r="F90" s="2"/>
      <c r="G90" s="2"/>
      <c r="H90" s="2"/>
    </row>
    <row r="91" spans="1:8" x14ac:dyDescent="0.25">
      <c r="A91" s="2"/>
      <c r="B91" s="2"/>
      <c r="C91" s="2"/>
      <c r="D91" s="2"/>
      <c r="E91" s="2"/>
      <c r="F91" s="2"/>
      <c r="G91" s="2"/>
      <c r="H91" s="2"/>
    </row>
    <row r="92" spans="1:8" x14ac:dyDescent="0.25">
      <c r="A92" s="2"/>
      <c r="B92" s="2"/>
      <c r="C92" s="2"/>
      <c r="D92" s="2"/>
      <c r="E92" s="2"/>
      <c r="F92" s="2"/>
      <c r="G92" s="2"/>
      <c r="H92" s="2"/>
    </row>
    <row r="93" spans="1:8" x14ac:dyDescent="0.25">
      <c r="A93" s="2"/>
      <c r="B93" s="2"/>
      <c r="C93" s="2"/>
      <c r="D93" s="2"/>
      <c r="E93" s="2"/>
      <c r="F93" s="2"/>
      <c r="G93" s="2"/>
      <c r="H93" s="2"/>
    </row>
    <row r="94" spans="1:8" x14ac:dyDescent="0.25">
      <c r="A94" s="2"/>
      <c r="B94" s="2"/>
      <c r="C94" s="2"/>
      <c r="D94" s="2"/>
      <c r="E94" s="2"/>
      <c r="F94" s="2"/>
      <c r="G94" s="2"/>
      <c r="H94" s="2"/>
    </row>
    <row r="95" spans="1:8" x14ac:dyDescent="0.25">
      <c r="A95" s="2"/>
      <c r="B95" s="2"/>
      <c r="C95" s="2"/>
      <c r="D95" s="2"/>
      <c r="E95" s="2"/>
      <c r="F95" s="2"/>
      <c r="G95" s="2"/>
      <c r="H95" s="2"/>
    </row>
    <row r="96" spans="1:8" x14ac:dyDescent="0.25">
      <c r="A96" s="2"/>
      <c r="B96" s="2"/>
      <c r="C96" s="2"/>
      <c r="D96" s="2"/>
      <c r="E96" s="2"/>
      <c r="F96" s="2"/>
      <c r="G96" s="2"/>
      <c r="H96" s="2"/>
    </row>
    <row r="97" spans="1:8" x14ac:dyDescent="0.25">
      <c r="A97" s="2"/>
      <c r="B97" s="2"/>
      <c r="C97" s="2"/>
      <c r="D97" s="2"/>
      <c r="E97" s="2"/>
      <c r="F97" s="2"/>
      <c r="G97" s="2"/>
      <c r="H97" s="2"/>
    </row>
    <row r="98" spans="1:8" x14ac:dyDescent="0.25">
      <c r="A98" s="2"/>
      <c r="B98" s="2"/>
      <c r="C98" s="2"/>
      <c r="D98" s="2"/>
      <c r="E98" s="2"/>
      <c r="F98" s="2"/>
      <c r="G98" s="2"/>
      <c r="H98" s="2"/>
    </row>
    <row r="99" spans="1:8" x14ac:dyDescent="0.25">
      <c r="A99" s="2"/>
      <c r="B99" s="2"/>
      <c r="C99" s="2"/>
      <c r="D99" s="2"/>
      <c r="E99" s="2"/>
      <c r="F99" s="2"/>
      <c r="G99" s="2"/>
      <c r="H99" s="2"/>
    </row>
    <row r="100" spans="1:8" x14ac:dyDescent="0.25">
      <c r="A100" s="2"/>
      <c r="B100" s="2"/>
      <c r="C100" s="2"/>
      <c r="D100" s="2"/>
      <c r="E100" s="2"/>
      <c r="F100" s="2"/>
      <c r="G100" s="2"/>
      <c r="H100"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Claude Log</vt:lpstr>
      <vt:lpstr>📊 Dashboard</vt:lpstr>
      <vt:lpstr>🔧 HFC-HFH Overhaul</vt:lpstr>
      <vt:lpstr>⚖️ SF vs Apricot</vt:lpstr>
      <vt:lpstr>🚨 Alarm Audit</vt:lpstr>
      <vt:lpstr>📝 Meeting 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Ronnie Yee</dc:creator>
  <cp:lastModifiedBy>Ronnie Yee</cp:lastModifiedBy>
  <dcterms:created xsi:type="dcterms:W3CDTF">2026-03-08T06:33:24Z</dcterms:created>
  <dcterms:modified xsi:type="dcterms:W3CDTF">2026-03-08T07:46:28Z</dcterms:modified>
</cp:coreProperties>
</file>