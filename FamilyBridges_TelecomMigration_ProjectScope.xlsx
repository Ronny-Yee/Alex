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cope" sheetId="1" state="visible" r:id="rId3"/>
    <sheet name="Cost Analysis" sheetId="2" state="visible" r:id="rId4"/>
    <sheet name="Location Inventory" sheetId="3" state="visible" r:id="rId5"/>
    <sheet name="TN Inventory" sheetId="4" state="visible" r:id="rId6"/>
    <sheet name="Work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<sst xmlns="http://schemas.openxmlformats.org/spreadsheetml/2006/main" count="217" uniqueCount="149">
  <si>
    <t xml:space="preserve">FAMILY BRIDGES TELECOM MIGRATION PROJECT</t>
  </si>
  <si>
    <t xml:space="preserve">Project Scope &amp; Migration Phases</t>
  </si>
  <si>
    <t xml:space="preserve">Phase</t>
  </si>
  <si>
    <t xml:space="preserve">Focus Area</t>
  </si>
  <si>
    <t xml:space="preserve">Locations</t>
  </si>
  <si>
    <t xml:space="preserve">Timeline</t>
  </si>
  <si>
    <t xml:space="preserve">Status</t>
  </si>
  <si>
    <t xml:space="preserve">Phase 1</t>
  </si>
  <si>
    <t xml:space="preserve">ISP Migration (Priority)</t>
  </si>
  <si>
    <t xml:space="preserve">11th St, 12th St, 13th St, 14th St</t>
  </si>
  <si>
    <t xml:space="preserve">Week 1-2</t>
  </si>
  <si>
    <t xml:space="preserve">Pending</t>
  </si>
  <si>
    <t xml:space="preserve">Phase 2</t>
  </si>
  <si>
    <t xml:space="preserve">VoIP Deployment (All Sites)</t>
  </si>
  <si>
    <t xml:space="preserve">All 6 locations</t>
  </si>
  <si>
    <t xml:space="preserve">Week 3-4</t>
  </si>
  <si>
    <t xml:space="preserve">Phase 3</t>
  </si>
  <si>
    <t xml:space="preserve">Fax &amp; Security Continuity</t>
  </si>
  <si>
    <t xml:space="preserve">All locations (Fax ATAs &amp; Bay Alarm)</t>
  </si>
  <si>
    <t xml:space="preserve">Week 5</t>
  </si>
  <si>
    <t xml:space="preserve">Phase 4</t>
  </si>
  <si>
    <t xml:space="preserve">P2P Elimination &amp; VPN Setup</t>
  </si>
  <si>
    <t xml:space="preserve">All locations (WAN optimization)</t>
  </si>
  <si>
    <t xml:space="preserve">Week 6</t>
  </si>
  <si>
    <t xml:space="preserve">Phase 5</t>
  </si>
  <si>
    <t xml:space="preserve">ISP Review (Secondary Sites)</t>
  </si>
  <si>
    <t xml:space="preserve">Harrison Ave, 1423 Broadway</t>
  </si>
  <si>
    <t xml:space="preserve">Week 7-8</t>
  </si>
  <si>
    <t xml:space="preserve">COST ANALYSIS: CURRENT VS PROPOSED</t>
  </si>
  <si>
    <t xml:space="preserve">Monthly &amp; Annual Savings Projection</t>
  </si>
  <si>
    <t xml:space="preserve">Service</t>
  </si>
  <si>
    <t xml:space="preserve">Current Monthly</t>
  </si>
  <si>
    <t xml:space="preserve">Proposed Monthly</t>
  </si>
  <si>
    <t xml:space="preserve">Monthly Savings</t>
  </si>
  <si>
    <t xml:space="preserve">Annual Savings</t>
  </si>
  <si>
    <t xml:space="preserve">ISP (AT&amp;T + Comcast)</t>
  </si>
  <si>
    <t xml:space="preserve">Voice (AT&amp;T PRI)</t>
  </si>
  <si>
    <t xml:space="preserve">Fax Bundle</t>
  </si>
  <si>
    <t xml:space="preserve">Phones &amp; PBX Maintenance</t>
  </si>
  <si>
    <t xml:space="preserve">TOTAL</t>
  </si>
  <si>
    <t xml:space="preserve">ONE-TIME CAPITAL EXPENDITURE</t>
  </si>
  <si>
    <t xml:space="preserve">Item</t>
  </si>
  <si>
    <t xml:space="preserve">Vendor</t>
  </si>
  <si>
    <t xml:space="preserve">Cost</t>
  </si>
  <si>
    <t xml:space="preserve">Qty</t>
  </si>
  <si>
    <t xml:space="preserve">Total</t>
  </si>
  <si>
    <t xml:space="preserve">Intermedia Unite Implementation</t>
  </si>
  <si>
    <t xml:space="preserve">ATS (Quote 26244-543)</t>
  </si>
  <si>
    <t xml:space="preserve">AT&amp;T Fiber Installation</t>
  </si>
  <si>
    <t xml:space="preserve">AT&amp;T</t>
  </si>
  <si>
    <t xml:space="preserve">Network Equipment &amp; Cabling</t>
  </si>
  <si>
    <t xml:space="preserve">ATS</t>
  </si>
  <si>
    <t xml:space="preserve">Fax ATA Adapters</t>
  </si>
  <si>
    <t xml:space="preserve">Included</t>
  </si>
  <si>
    <t xml:space="preserve">CAPEX TOTAL</t>
  </si>
  <si>
    <t xml:space="preserve">PAYBACK ANALYSIS</t>
  </si>
  <si>
    <t xml:space="preserve">Annual Savings:</t>
  </si>
  <si>
    <t xml:space="preserve">Capital Investment:</t>
  </si>
  <si>
    <t xml:space="preserve">Payback Period (Months):</t>
  </si>
  <si>
    <t xml:space="preserve">LOCATION INVENTORY &amp; SITE DETAILS</t>
  </si>
  <si>
    <t xml:space="preserve">Per-Site Equipment &amp; Service Details</t>
  </si>
  <si>
    <t xml:space="preserve">Location</t>
  </si>
  <si>
    <t xml:space="preserve">Address</t>
  </si>
  <si>
    <t xml:space="preserve">Employees</t>
  </si>
  <si>
    <t xml:space="preserve">Phone Qty</t>
  </si>
  <si>
    <t xml:space="preserve">Current ISP</t>
  </si>
  <si>
    <t xml:space="preserve">Target ISP</t>
  </si>
  <si>
    <t xml:space="preserve">14th St (Main)</t>
  </si>
  <si>
    <t xml:space="preserve">275 14th St, Oakland CA</t>
  </si>
  <si>
    <t xml:space="preserve">AT&amp;T + Comcast</t>
  </si>
  <si>
    <t xml:space="preserve">AT&amp;T Fiber + Intermedia</t>
  </si>
  <si>
    <t xml:space="preserve">11th St</t>
  </si>
  <si>
    <t xml:space="preserve">168 11th St, Oakland CA</t>
  </si>
  <si>
    <t xml:space="preserve">12th St</t>
  </si>
  <si>
    <t xml:space="preserve">250 12th St, Oakland CA</t>
  </si>
  <si>
    <t xml:space="preserve">Comcast</t>
  </si>
  <si>
    <t xml:space="preserve">13th St</t>
  </si>
  <si>
    <t xml:space="preserve">270 13th St, Oakland CA</t>
  </si>
  <si>
    <t xml:space="preserve">Harrison</t>
  </si>
  <si>
    <t xml:space="preserve">1388 Harrison Ave, Oakland CA</t>
  </si>
  <si>
    <t xml:space="preserve">ISP TBD</t>
  </si>
  <si>
    <t xml:space="preserve">Broadway</t>
  </si>
  <si>
    <t xml:space="preserve">1423 Broadway, Oakland CA</t>
  </si>
  <si>
    <t xml:space="preserve">SYSTEM MIGRATION DETAILS</t>
  </si>
  <si>
    <t xml:space="preserve">Current PBX System:</t>
  </si>
  <si>
    <t xml:space="preserve">Toshiba PBX</t>
  </si>
  <si>
    <t xml:space="preserve">Target Phone System:</t>
  </si>
  <si>
    <t xml:space="preserve">Intermedia Unite (Cloud-based)</t>
  </si>
  <si>
    <t xml:space="preserve">Voice Service:</t>
  </si>
  <si>
    <t xml:space="preserve">AT&amp;T PRI → VoIP (Intermedia Unite)</t>
  </si>
  <si>
    <t xml:space="preserve">WAN Architecture:</t>
  </si>
  <si>
    <t xml:space="preserve">P2P Links → Site-to-Site VPN</t>
  </si>
  <si>
    <t xml:space="preserve">Fax Solution:</t>
  </si>
  <si>
    <t xml:space="preserve">Comcast Bundle → ATA Adapters (2 included)</t>
  </si>
  <si>
    <t xml:space="preserve">Security Monitoring:</t>
  </si>
  <si>
    <t xml:space="preserve">Bay Alarm on Comcast → Cellular/IP Path (cost TBD)</t>
  </si>
  <si>
    <t xml:space="preserve">TELEPHONE NUMBER PORTING PLAN</t>
  </si>
  <si>
    <t xml:space="preserve">Comprehensive TN Migration &amp; Inventory</t>
  </si>
  <si>
    <t xml:space="preserve">Phone Number</t>
  </si>
  <si>
    <t xml:space="preserve">Current Carrier</t>
  </si>
  <si>
    <t xml:space="preserve">Target Carrier</t>
  </si>
  <si>
    <t xml:space="preserve">510-302-0460</t>
  </si>
  <si>
    <t xml:space="preserve">AT&amp;T PRI</t>
  </si>
  <si>
    <t xml:space="preserve">Intermedia Unite</t>
  </si>
  <si>
    <t xml:space="preserve">510-302-0461</t>
  </si>
  <si>
    <t xml:space="preserve">510-302-0462</t>
  </si>
  <si>
    <t xml:space="preserve">510-302-0463</t>
  </si>
  <si>
    <t xml:space="preserve">510-302-0465</t>
  </si>
  <si>
    <t xml:space="preserve">510-350-0803</t>
  </si>
  <si>
    <t xml:space="preserve">510-350-0804</t>
  </si>
  <si>
    <t xml:space="preserve">510-433-1540</t>
  </si>
  <si>
    <t xml:space="preserve">510-433-1541</t>
  </si>
  <si>
    <t xml:space="preserve">510-433-1542</t>
  </si>
  <si>
    <t xml:space="preserve">510-433-1543</t>
  </si>
  <si>
    <t xml:space="preserve">510-839-9671</t>
  </si>
  <si>
    <t xml:space="preserve">510-839-9673</t>
  </si>
  <si>
    <t xml:space="preserve">510-879-2155</t>
  </si>
  <si>
    <t xml:space="preserve">510-879-2156</t>
  </si>
  <si>
    <t xml:space="preserve">SUMMARY</t>
  </si>
  <si>
    <t xml:space="preserve">Total TNs to Port:</t>
  </si>
  <si>
    <t xml:space="preserve">Carrier:</t>
  </si>
  <si>
    <t xml:space="preserve">AT&amp;T (current) to Intermedia Unite</t>
  </si>
  <si>
    <t xml:space="preserve">Porting Method:</t>
  </si>
  <si>
    <t xml:space="preserve">Electronic LOA via ATS/Intermedia</t>
  </si>
  <si>
    <t xml:space="preserve">COLLABORATIVE WORK LOG</t>
  </si>
  <si>
    <t xml:space="preserve">Session Notes &amp; Project Progress Tracking</t>
  </si>
  <si>
    <t xml:space="preserve">Date</t>
  </si>
  <si>
    <t xml:space="preserve">Owner</t>
  </si>
  <si>
    <t xml:space="preserve">Activity/Notes</t>
  </si>
  <si>
    <t xml:space="preserve">03/01/2026</t>
  </si>
  <si>
    <t xml:space="preserve">Project Team</t>
  </si>
  <si>
    <t xml:space="preserve">Project scope finalized, phases defined</t>
  </si>
  <si>
    <t xml:space="preserve">Complete</t>
  </si>
  <si>
    <t xml:space="preserve">Finance</t>
  </si>
  <si>
    <t xml:space="preserve">Cost analysis &amp; ROI calculated (3.2 month payback)</t>
  </si>
  <si>
    <t xml:space="preserve">ATS/Vendor</t>
  </si>
  <si>
    <t xml:space="preserve">Quote review 26244-543 (Intermedia implementation)</t>
  </si>
  <si>
    <t xml:space="preserve">In Progress</t>
  </si>
  <si>
    <t xml:space="preserve">IT Manager</t>
  </si>
  <si>
    <t xml:space="preserve">Site survey at 14th St (main) - 38 phones identified</t>
  </si>
  <si>
    <t xml:space="preserve">Facilities</t>
  </si>
  <si>
    <t xml:space="preserve">AT&amp;T Fiber availability confirmed for 11th-14th St</t>
  </si>
  <si>
    <t xml:space="preserve">Admin</t>
  </si>
  <si>
    <t xml:space="preserve">Bay Alarm contact - security monitoring continuity plan</t>
  </si>
  <si>
    <t xml:space="preserve">PHASE 1: ISP Migration Planning</t>
  </si>
  <si>
    <t xml:space="preserve">PHASE 2: VoIP System Design &amp; Testing</t>
  </si>
  <si>
    <t xml:space="preserve">PHASE 3: Fax &amp; Security Transition</t>
  </si>
  <si>
    <t xml:space="preserve">PHASE 4: WAN Optimization (P2P → VPN)</t>
  </si>
  <si>
    <t xml:space="preserve">PHASE 5: Secondary Site ISP Review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</si>
</sst>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"/>
    <numFmt numFmtId="167" formatCode="mm/d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8F9FA"/>
        <bgColor rgb="FFFFFFFF"/>
      </patternFill>
    </fill>
    <fill>
      <patternFill patternType="solid">
        <fgColor rgb="FFE8ECF0"/>
        <bgColor rgb="FFF8F9FA"/>
      </patternFill>
    </fill>
    <fill>
      <patternFill patternType="solid">
        <fgColor rgb="FF0F3460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8ECF0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F3460"/>
      <rgbColor rgb="FF00B05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15" hidden="false" customHeight="false" outlineLevel="0" collapsed="false">
      <c r="A6" s="6" t="s">
        <v>12</v>
      </c>
      <c r="B6" s="7" t="s">
        <v>13</v>
      </c>
      <c r="C6" s="7" t="s">
        <v>14</v>
      </c>
      <c r="D6" s="7" t="s">
        <v>15</v>
      </c>
      <c r="E6" s="7" t="s">
        <v>11</v>
      </c>
    </row>
    <row r="7" customFormat="false" ht="23.85" hidden="false" customHeight="false" outlineLevel="0" collapsed="false">
      <c r="A7" s="4" t="s">
        <v>16</v>
      </c>
      <c r="B7" s="5" t="s">
        <v>17</v>
      </c>
      <c r="C7" s="5" t="s">
        <v>18</v>
      </c>
      <c r="D7" s="5" t="s">
        <v>19</v>
      </c>
      <c r="E7" s="5" t="s">
        <v>11</v>
      </c>
    </row>
    <row r="8" customFormat="false" ht="15" hidden="false" customHeight="false" outlineLevel="0" collapsed="false">
      <c r="A8" s="6" t="s">
        <v>20</v>
      </c>
      <c r="B8" s="7" t="s">
        <v>21</v>
      </c>
      <c r="C8" s="7" t="s">
        <v>22</v>
      </c>
      <c r="D8" s="7" t="s">
        <v>23</v>
      </c>
      <c r="E8" s="7" t="s">
        <v>11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26</v>
      </c>
      <c r="D9" s="5" t="s">
        <v>27</v>
      </c>
      <c r="E9" s="5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</row>
    <row r="5" customFormat="false" ht="15" hidden="false" customHeight="false" outlineLevel="0" collapsed="false">
      <c r="A5" s="5" t="s">
        <v>35</v>
      </c>
      <c r="B5" s="8" t="n">
        <v>3200</v>
      </c>
      <c r="C5" s="8" t="n">
        <v>1500</v>
      </c>
      <c r="D5" s="8" t="n">
        <f aca="false">B5-C5</f>
        <v>1700</v>
      </c>
      <c r="E5" s="8" t="n">
        <f aca="false">(B5-C5)*12</f>
        <v>20400</v>
      </c>
    </row>
    <row r="6" customFormat="false" ht="15" hidden="false" customHeight="false" outlineLevel="0" collapsed="false">
      <c r="A6" s="7" t="s">
        <v>36</v>
      </c>
      <c r="B6" s="9" t="n">
        <v>1554.2</v>
      </c>
      <c r="C6" s="9" t="n">
        <v>0</v>
      </c>
      <c r="D6" s="9" t="n">
        <f aca="false">B6-C6</f>
        <v>1554.2</v>
      </c>
      <c r="E6" s="9" t="n">
        <f aca="false">(B6-C6)*12</f>
        <v>18650.4</v>
      </c>
    </row>
    <row r="7" customFormat="false" ht="15" hidden="false" customHeight="false" outlineLevel="0" collapsed="false">
      <c r="A7" s="5" t="s">
        <v>37</v>
      </c>
      <c r="B7" s="8" t="n">
        <v>400</v>
      </c>
      <c r="C7" s="8" t="n">
        <v>200</v>
      </c>
      <c r="D7" s="8" t="n">
        <f aca="false">B7-C7</f>
        <v>200</v>
      </c>
      <c r="E7" s="8" t="n">
        <f aca="false">(B7-C7)*12</f>
        <v>2400</v>
      </c>
    </row>
    <row r="8" customFormat="false" ht="15" hidden="false" customHeight="false" outlineLevel="0" collapsed="false">
      <c r="A8" s="7" t="s">
        <v>38</v>
      </c>
      <c r="B8" s="9" t="n">
        <v>400</v>
      </c>
      <c r="C8" s="9" t="n">
        <v>438.22</v>
      </c>
      <c r="D8" s="9" t="n">
        <f aca="false">B8-C8</f>
        <v>-38.22</v>
      </c>
      <c r="E8" s="9" t="n">
        <f aca="false">(B8-C8)*12</f>
        <v>-458.64</v>
      </c>
    </row>
    <row r="9" customFormat="false" ht="15" hidden="false" customHeight="false" outlineLevel="0" collapsed="false">
      <c r="A9" s="10" t="s">
        <v>39</v>
      </c>
      <c r="B9" s="11" t="n">
        <f aca="false">SUM(B5:B8)</f>
        <v>5554.2</v>
      </c>
      <c r="C9" s="11" t="n">
        <f aca="false">SUM(C5:C8)</f>
        <v>2138.22</v>
      </c>
      <c r="D9" s="11" t="n">
        <f aca="false">SUM(D5:D8)</f>
        <v>3415.98</v>
      </c>
      <c r="E9" s="11" t="n">
        <f aca="false">SUM(E5:E8)</f>
        <v>40991.76</v>
      </c>
    </row>
    <row r="11" customFormat="false" ht="15" hidden="false" customHeight="false" outlineLevel="0" collapsed="false">
      <c r="A11" s="12" t="s">
        <v>40</v>
      </c>
      <c r="B11" s="12"/>
      <c r="C11" s="12"/>
      <c r="D11" s="12"/>
      <c r="E11" s="12"/>
    </row>
    <row r="12" customFormat="false" ht="15" hidden="false" customHeight="false" outlineLevel="0" collapsed="false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45</v>
      </c>
    </row>
    <row r="13" customFormat="false" ht="23.85" hidden="false" customHeight="false" outlineLevel="0" collapsed="false">
      <c r="A13" s="5" t="s">
        <v>46</v>
      </c>
      <c r="B13" s="4" t="s">
        <v>47</v>
      </c>
      <c r="C13" s="8" t="n">
        <v>5000</v>
      </c>
      <c r="D13" s="8" t="n">
        <v>1</v>
      </c>
      <c r="E13" s="8" t="n">
        <f aca="false">C13*D13</f>
        <v>5000</v>
      </c>
    </row>
    <row r="14" customFormat="false" ht="15" hidden="false" customHeight="false" outlineLevel="0" collapsed="false">
      <c r="A14" s="7" t="s">
        <v>48</v>
      </c>
      <c r="B14" s="6" t="s">
        <v>49</v>
      </c>
      <c r="C14" s="9" t="n">
        <v>2095.98</v>
      </c>
      <c r="D14" s="9" t="n">
        <v>1</v>
      </c>
      <c r="E14" s="9" t="n">
        <f aca="false">C14*D14</f>
        <v>2095.98</v>
      </c>
    </row>
    <row r="15" customFormat="false" ht="15" hidden="false" customHeight="false" outlineLevel="0" collapsed="false">
      <c r="A15" s="5" t="s">
        <v>50</v>
      </c>
      <c r="B15" s="4" t="s">
        <v>51</v>
      </c>
      <c r="C15" s="8" t="n">
        <v>1500</v>
      </c>
      <c r="D15" s="8" t="n">
        <v>1</v>
      </c>
      <c r="E15" s="8" t="n">
        <f aca="false">C15*D15</f>
        <v>1500</v>
      </c>
    </row>
    <row r="16" customFormat="false" ht="15" hidden="false" customHeight="false" outlineLevel="0" collapsed="false">
      <c r="A16" s="7" t="s">
        <v>52</v>
      </c>
      <c r="B16" s="6" t="s">
        <v>53</v>
      </c>
      <c r="C16" s="9" t="n">
        <v>500</v>
      </c>
      <c r="D16" s="9" t="n">
        <v>2</v>
      </c>
      <c r="E16" s="9" t="n">
        <f aca="false">C16*D16</f>
        <v>1000</v>
      </c>
    </row>
    <row r="17" customFormat="false" ht="15" hidden="false" customHeight="false" outlineLevel="0" collapsed="false">
      <c r="A17" s="10" t="s">
        <v>54</v>
      </c>
      <c r="B17" s="10"/>
      <c r="C17" s="11"/>
      <c r="D17" s="11"/>
      <c r="E17" s="11" t="n">
        <f aca="false">SUM(E13:E16)</f>
        <v>9595.98</v>
      </c>
    </row>
    <row r="20" customFormat="false" ht="15" hidden="false" customHeight="false" outlineLevel="0" collapsed="false">
      <c r="A20" s="12" t="s">
        <v>55</v>
      </c>
      <c r="B20" s="12"/>
      <c r="C20" s="12"/>
      <c r="D20" s="12"/>
      <c r="E20" s="12"/>
    </row>
    <row r="21" customFormat="false" ht="15" hidden="false" customHeight="false" outlineLevel="0" collapsed="false">
      <c r="A21" s="13" t="s">
        <v>56</v>
      </c>
      <c r="B21" s="14" t="n">
        <f aca="false">E9</f>
        <v>40991.76</v>
      </c>
    </row>
    <row r="22" customFormat="false" ht="15" hidden="false" customHeight="false" outlineLevel="0" collapsed="false">
      <c r="A22" s="13" t="s">
        <v>57</v>
      </c>
      <c r="B22" s="14" t="n">
        <f aca="false">E17</f>
        <v>9595.98</v>
      </c>
    </row>
    <row r="23" customFormat="false" ht="15" hidden="false" customHeight="false" outlineLevel="0" collapsed="false">
      <c r="A23" s="13" t="s">
        <v>58</v>
      </c>
      <c r="B23" s="15" t="n">
        <f aca="false">(B22*12)/B21</f>
        <v>2.80914408163982</v>
      </c>
    </row>
  </sheetData>
  <mergeCells count="4">
    <mergeCell ref="A1:E1"/>
    <mergeCell ref="A2:E2"/>
    <mergeCell ref="A11:E1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</row>
    <row r="5" customFormat="false" ht="23.85" hidden="false" customHeight="false" outlineLevel="0" collapsed="false">
      <c r="A5" s="5" t="s">
        <v>67</v>
      </c>
      <c r="B5" s="5" t="s">
        <v>68</v>
      </c>
      <c r="C5" s="4" t="n">
        <v>45</v>
      </c>
      <c r="D5" s="4" t="n">
        <v>38</v>
      </c>
      <c r="E5" s="5" t="s">
        <v>69</v>
      </c>
      <c r="F5" s="5" t="s">
        <v>70</v>
      </c>
    </row>
    <row r="6" customFormat="false" ht="23.85" hidden="false" customHeight="false" outlineLevel="0" collapsed="false">
      <c r="A6" s="7" t="s">
        <v>71</v>
      </c>
      <c r="B6" s="7" t="s">
        <v>72</v>
      </c>
      <c r="C6" s="6" t="n">
        <v>20</v>
      </c>
      <c r="D6" s="6" t="n">
        <v>8</v>
      </c>
      <c r="E6" s="7" t="s">
        <v>69</v>
      </c>
      <c r="F6" s="7" t="s">
        <v>70</v>
      </c>
    </row>
    <row r="7" customFormat="false" ht="23.85" hidden="false" customHeight="false" outlineLevel="0" collapsed="false">
      <c r="A7" s="5" t="s">
        <v>73</v>
      </c>
      <c r="B7" s="5" t="s">
        <v>74</v>
      </c>
      <c r="C7" s="4" t="n">
        <v>15</v>
      </c>
      <c r="D7" s="4" t="n">
        <v>6</v>
      </c>
      <c r="E7" s="5" t="s">
        <v>75</v>
      </c>
      <c r="F7" s="5" t="s">
        <v>70</v>
      </c>
    </row>
    <row r="8" customFormat="false" ht="23.85" hidden="false" customHeight="false" outlineLevel="0" collapsed="false">
      <c r="A8" s="7" t="s">
        <v>76</v>
      </c>
      <c r="B8" s="7" t="s">
        <v>77</v>
      </c>
      <c r="C8" s="6" t="n">
        <v>12</v>
      </c>
      <c r="D8" s="6" t="n">
        <v>5</v>
      </c>
      <c r="E8" s="7" t="s">
        <v>75</v>
      </c>
      <c r="F8" s="7" t="s">
        <v>70</v>
      </c>
    </row>
    <row r="9" customFormat="false" ht="23.85" hidden="false" customHeight="false" outlineLevel="0" collapsed="false">
      <c r="A9" s="5" t="s">
        <v>78</v>
      </c>
      <c r="B9" s="5" t="s">
        <v>79</v>
      </c>
      <c r="C9" s="4" t="n">
        <v>5</v>
      </c>
      <c r="D9" s="4" t="n">
        <v>2</v>
      </c>
      <c r="E9" s="5" t="s">
        <v>75</v>
      </c>
      <c r="F9" s="5" t="s">
        <v>80</v>
      </c>
    </row>
    <row r="10" customFormat="false" ht="15" hidden="false" customHeight="false" outlineLevel="0" collapsed="false">
      <c r="A10" s="7" t="s">
        <v>81</v>
      </c>
      <c r="B10" s="7" t="s">
        <v>82</v>
      </c>
      <c r="C10" s="6" t="n">
        <v>3</v>
      </c>
      <c r="D10" s="6" t="n">
        <v>1</v>
      </c>
      <c r="E10" s="7" t="s">
        <v>75</v>
      </c>
      <c r="F10" s="7" t="s">
        <v>80</v>
      </c>
    </row>
    <row r="11" customFormat="false" ht="15" hidden="false" customHeight="false" outlineLevel="0" collapsed="false">
      <c r="A11" s="16" t="s">
        <v>39</v>
      </c>
      <c r="B11" s="16"/>
      <c r="C11" s="10" t="n">
        <f aca="false">SUM(C5:C10)</f>
        <v>100</v>
      </c>
      <c r="D11" s="10" t="n">
        <f aca="false">SUM(D5:D10)</f>
        <v>60</v>
      </c>
      <c r="E11" s="16"/>
      <c r="F11" s="16"/>
    </row>
    <row r="13" customFormat="false" ht="15" hidden="false" customHeight="false" outlineLevel="0" collapsed="false">
      <c r="A13" s="17" t="s">
        <v>83</v>
      </c>
    </row>
    <row r="14" customFormat="false" ht="26.85" hidden="false" customHeight="false" outlineLevel="0" collapsed="false">
      <c r="A14" s="18" t="s">
        <v>84</v>
      </c>
      <c r="B14" s="5" t="s">
        <v>85</v>
      </c>
    </row>
    <row r="15" customFormat="false" ht="26.85" hidden="false" customHeight="false" outlineLevel="0" collapsed="false">
      <c r="A15" s="18" t="s">
        <v>86</v>
      </c>
      <c r="B15" s="5" t="s">
        <v>87</v>
      </c>
    </row>
    <row r="16" customFormat="false" ht="23.85" hidden="false" customHeight="false" outlineLevel="0" collapsed="false">
      <c r="A16" s="18" t="s">
        <v>88</v>
      </c>
      <c r="B16" s="5" t="s">
        <v>89</v>
      </c>
    </row>
    <row r="17" customFormat="false" ht="15" hidden="false" customHeight="false" outlineLevel="0" collapsed="false">
      <c r="A17" s="18" t="s">
        <v>90</v>
      </c>
      <c r="B17" s="5" t="s">
        <v>91</v>
      </c>
    </row>
    <row r="18" customFormat="false" ht="23.85" hidden="false" customHeight="false" outlineLevel="0" collapsed="false">
      <c r="A18" s="18" t="s">
        <v>92</v>
      </c>
      <c r="B18" s="5" t="s">
        <v>93</v>
      </c>
    </row>
    <row r="19" customFormat="false" ht="26.85" hidden="false" customHeight="false" outlineLevel="0" collapsed="false">
      <c r="A19" s="18" t="s">
        <v>94</v>
      </c>
      <c r="B19" s="5" t="s">
        <v>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</row>
    <row r="2" customFormat="false" ht="15" hidden="false" customHeight="false" outlineLevel="0" collapsed="false">
      <c r="A2" s="2" t="s">
        <v>97</v>
      </c>
      <c r="B2" s="2"/>
      <c r="C2" s="2"/>
      <c r="D2" s="2"/>
    </row>
    <row r="4" customFormat="false" ht="15" hidden="false" customHeight="false" outlineLevel="0" collapsed="false">
      <c r="A4" s="3" t="s">
        <v>98</v>
      </c>
      <c r="B4" s="3" t="s">
        <v>99</v>
      </c>
      <c r="C4" s="3" t="s">
        <v>100</v>
      </c>
      <c r="D4" s="3" t="s">
        <v>6</v>
      </c>
    </row>
    <row r="5" customFormat="false" ht="15" hidden="false" customHeight="false" outlineLevel="0" collapsed="false">
      <c r="A5" s="4" t="s">
        <v>101</v>
      </c>
      <c r="B5" s="4" t="s">
        <v>102</v>
      </c>
      <c r="C5" s="4" t="s">
        <v>103</v>
      </c>
      <c r="D5" s="4" t="s">
        <v>11</v>
      </c>
    </row>
    <row r="6" customFormat="false" ht="15" hidden="false" customHeight="false" outlineLevel="0" collapsed="false">
      <c r="A6" s="6" t="s">
        <v>104</v>
      </c>
      <c r="B6" s="6" t="s">
        <v>102</v>
      </c>
      <c r="C6" s="6" t="s">
        <v>103</v>
      </c>
      <c r="D6" s="6" t="s">
        <v>11</v>
      </c>
    </row>
    <row r="7" customFormat="false" ht="15" hidden="false" customHeight="false" outlineLevel="0" collapsed="false">
      <c r="A7" s="4" t="s">
        <v>105</v>
      </c>
      <c r="B7" s="4" t="s">
        <v>102</v>
      </c>
      <c r="C7" s="4" t="s">
        <v>103</v>
      </c>
      <c r="D7" s="4" t="s">
        <v>11</v>
      </c>
    </row>
    <row r="8" customFormat="false" ht="15" hidden="false" customHeight="false" outlineLevel="0" collapsed="false">
      <c r="A8" s="6" t="s">
        <v>106</v>
      </c>
      <c r="B8" s="6" t="s">
        <v>102</v>
      </c>
      <c r="C8" s="6" t="s">
        <v>103</v>
      </c>
      <c r="D8" s="6" t="s">
        <v>11</v>
      </c>
    </row>
    <row r="9" customFormat="false" ht="15" hidden="false" customHeight="false" outlineLevel="0" collapsed="false">
      <c r="A9" s="4" t="s">
        <v>107</v>
      </c>
      <c r="B9" s="4" t="s">
        <v>102</v>
      </c>
      <c r="C9" s="4" t="s">
        <v>103</v>
      </c>
      <c r="D9" s="4" t="s">
        <v>11</v>
      </c>
    </row>
    <row r="10" customFormat="false" ht="15" hidden="false" customHeight="false" outlineLevel="0" collapsed="false">
      <c r="A10" s="6" t="s">
        <v>108</v>
      </c>
      <c r="B10" s="6" t="s">
        <v>102</v>
      </c>
      <c r="C10" s="6" t="s">
        <v>103</v>
      </c>
      <c r="D10" s="6" t="s">
        <v>11</v>
      </c>
    </row>
    <row r="11" customFormat="false" ht="15" hidden="false" customHeight="false" outlineLevel="0" collapsed="false">
      <c r="A11" s="4" t="s">
        <v>109</v>
      </c>
      <c r="B11" s="4" t="s">
        <v>102</v>
      </c>
      <c r="C11" s="4" t="s">
        <v>103</v>
      </c>
      <c r="D11" s="4" t="s">
        <v>11</v>
      </c>
    </row>
    <row r="12" customFormat="false" ht="15" hidden="false" customHeight="false" outlineLevel="0" collapsed="false">
      <c r="A12" s="6" t="s">
        <v>110</v>
      </c>
      <c r="B12" s="6" t="s">
        <v>102</v>
      </c>
      <c r="C12" s="6" t="s">
        <v>103</v>
      </c>
      <c r="D12" s="6" t="s">
        <v>11</v>
      </c>
    </row>
    <row r="13" customFormat="false" ht="15" hidden="false" customHeight="false" outlineLevel="0" collapsed="false">
      <c r="A13" s="4" t="s">
        <v>111</v>
      </c>
      <c r="B13" s="4" t="s">
        <v>102</v>
      </c>
      <c r="C13" s="4" t="s">
        <v>103</v>
      </c>
      <c r="D13" s="4" t="s">
        <v>11</v>
      </c>
    </row>
    <row r="14" customFormat="false" ht="15" hidden="false" customHeight="false" outlineLevel="0" collapsed="false">
      <c r="A14" s="6" t="s">
        <v>112</v>
      </c>
      <c r="B14" s="6" t="s">
        <v>102</v>
      </c>
      <c r="C14" s="6" t="s">
        <v>103</v>
      </c>
      <c r="D14" s="6" t="s">
        <v>11</v>
      </c>
    </row>
    <row r="15" customFormat="false" ht="15" hidden="false" customHeight="false" outlineLevel="0" collapsed="false">
      <c r="A15" s="4" t="s">
        <v>113</v>
      </c>
      <c r="B15" s="4" t="s">
        <v>102</v>
      </c>
      <c r="C15" s="4" t="s">
        <v>103</v>
      </c>
      <c r="D15" s="4" t="s">
        <v>11</v>
      </c>
    </row>
    <row r="16" customFormat="false" ht="15" hidden="false" customHeight="false" outlineLevel="0" collapsed="false">
      <c r="A16" s="6" t="s">
        <v>114</v>
      </c>
      <c r="B16" s="6" t="s">
        <v>102</v>
      </c>
      <c r="C16" s="6" t="s">
        <v>103</v>
      </c>
      <c r="D16" s="6" t="s">
        <v>11</v>
      </c>
    </row>
    <row r="17" customFormat="false" ht="15" hidden="false" customHeight="false" outlineLevel="0" collapsed="false">
      <c r="A17" s="4" t="s">
        <v>115</v>
      </c>
      <c r="B17" s="4" t="s">
        <v>102</v>
      </c>
      <c r="C17" s="4" t="s">
        <v>103</v>
      </c>
      <c r="D17" s="4" t="s">
        <v>11</v>
      </c>
    </row>
    <row r="18" customFormat="false" ht="15" hidden="false" customHeight="false" outlineLevel="0" collapsed="false">
      <c r="A18" s="6" t="s">
        <v>116</v>
      </c>
      <c r="B18" s="6" t="s">
        <v>102</v>
      </c>
      <c r="C18" s="6" t="s">
        <v>103</v>
      </c>
      <c r="D18" s="6" t="s">
        <v>11</v>
      </c>
    </row>
    <row r="19" customFormat="false" ht="15" hidden="false" customHeight="false" outlineLevel="0" collapsed="false">
      <c r="A19" s="4" t="s">
        <v>117</v>
      </c>
      <c r="B19" s="4" t="s">
        <v>102</v>
      </c>
      <c r="C19" s="4" t="s">
        <v>103</v>
      </c>
      <c r="D19" s="4" t="s">
        <v>11</v>
      </c>
    </row>
    <row r="21" customFormat="false" ht="15" hidden="false" customHeight="false" outlineLevel="0" collapsed="false">
      <c r="A21" s="12" t="s">
        <v>118</v>
      </c>
      <c r="B21" s="12"/>
      <c r="C21" s="12"/>
      <c r="D21" s="12"/>
    </row>
    <row r="22" customFormat="false" ht="15" hidden="false" customHeight="false" outlineLevel="0" collapsed="false">
      <c r="A22" s="19" t="s">
        <v>119</v>
      </c>
      <c r="B22" s="20" t="n">
        <f aca="false">COUNTA(A5:A19)</f>
        <v>15</v>
      </c>
    </row>
    <row r="23" customFormat="false" ht="15" hidden="false" customHeight="false" outlineLevel="0" collapsed="false">
      <c r="A23" s="19" t="s">
        <v>120</v>
      </c>
      <c r="B23" s="20" t="s">
        <v>121</v>
      </c>
    </row>
    <row r="24" customFormat="false" ht="15" hidden="false" customHeight="false" outlineLevel="0" collapsed="false">
      <c r="A24" s="19" t="s">
        <v>122</v>
      </c>
      <c r="B24" s="20" t="s">
        <v>123</v>
      </c>
    </row>
  </sheetData>
  <mergeCells count="3">
    <mergeCell ref="A1:D1"/>
    <mergeCell ref="A2:D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124</v>
      </c>
      <c r="B1" s="1"/>
      <c r="C1" s="1"/>
      <c r="D1" s="1"/>
    </row>
    <row r="2" customFormat="false" ht="15" hidden="false" customHeight="false" outlineLevel="0" collapsed="false">
      <c r="A2" s="2" t="s">
        <v>125</v>
      </c>
      <c r="B2" s="2"/>
      <c r="C2" s="2"/>
      <c r="D2" s="2"/>
    </row>
    <row r="4" customFormat="false" ht="15" hidden="false" customHeight="false" outlineLevel="0" collapsed="false">
      <c r="A4" s="3" t="s">
        <v>126</v>
      </c>
      <c r="B4" s="3" t="s">
        <v>127</v>
      </c>
      <c r="C4" s="3" t="s">
        <v>128</v>
      </c>
      <c r="D4" s="3" t="s">
        <v>6</v>
      </c>
    </row>
    <row r="5" customFormat="false" ht="15" hidden="false" customHeight="false" outlineLevel="0" collapsed="false">
      <c r="A5" s="21" t="s">
        <v>129</v>
      </c>
      <c r="B5" s="5" t="s">
        <v>130</v>
      </c>
      <c r="C5" s="5" t="s">
        <v>131</v>
      </c>
      <c r="D5" s="4" t="s">
        <v>132</v>
      </c>
    </row>
    <row r="6" customFormat="false" ht="23.85" hidden="false" customHeight="false" outlineLevel="0" collapsed="false">
      <c r="A6" s="22" t="s">
        <v>129</v>
      </c>
      <c r="B6" s="7" t="s">
        <v>133</v>
      </c>
      <c r="C6" s="7" t="s">
        <v>134</v>
      </c>
      <c r="D6" s="6" t="s">
        <v>132</v>
      </c>
    </row>
    <row r="7" customFormat="false" ht="23.85" hidden="false" customHeight="false" outlineLevel="0" collapsed="false">
      <c r="A7" s="4"/>
      <c r="B7" s="5" t="s">
        <v>135</v>
      </c>
      <c r="C7" s="5" t="s">
        <v>136</v>
      </c>
      <c r="D7" s="4" t="s">
        <v>137</v>
      </c>
    </row>
    <row r="8" customFormat="false" ht="23.85" hidden="false" customHeight="false" outlineLevel="0" collapsed="false">
      <c r="A8" s="6"/>
      <c r="B8" s="7" t="s">
        <v>138</v>
      </c>
      <c r="C8" s="7" t="s">
        <v>139</v>
      </c>
      <c r="D8" s="6" t="s">
        <v>137</v>
      </c>
    </row>
    <row r="9" customFormat="false" ht="23.85" hidden="false" customHeight="false" outlineLevel="0" collapsed="false">
      <c r="A9" s="4"/>
      <c r="B9" s="5" t="s">
        <v>140</v>
      </c>
      <c r="C9" s="5" t="s">
        <v>141</v>
      </c>
      <c r="D9" s="4" t="s">
        <v>137</v>
      </c>
    </row>
    <row r="10" customFormat="false" ht="23.85" hidden="false" customHeight="false" outlineLevel="0" collapsed="false">
      <c r="A10" s="6"/>
      <c r="B10" s="7" t="s">
        <v>142</v>
      </c>
      <c r="C10" s="7" t="s">
        <v>143</v>
      </c>
      <c r="D10" s="6" t="s">
        <v>137</v>
      </c>
    </row>
    <row r="11" customFormat="false" ht="15" hidden="false" customHeight="false" outlineLevel="0" collapsed="false">
      <c r="A11" s="4"/>
      <c r="B11" s="5"/>
      <c r="C11" s="5" t="s">
        <v>144</v>
      </c>
      <c r="D11" s="4" t="s">
        <v>11</v>
      </c>
    </row>
    <row r="12" customFormat="false" ht="15" hidden="false" customHeight="false" outlineLevel="0" collapsed="false">
      <c r="A12" s="6"/>
      <c r="B12" s="7"/>
      <c r="C12" s="7" t="s">
        <v>145</v>
      </c>
      <c r="D12" s="6" t="s">
        <v>11</v>
      </c>
    </row>
    <row r="13" customFormat="false" ht="15" hidden="false" customHeight="false" outlineLevel="0" collapsed="false">
      <c r="A13" s="4"/>
      <c r="B13" s="5"/>
      <c r="C13" s="5" t="s">
        <v>146</v>
      </c>
      <c r="D13" s="4" t="s">
        <v>11</v>
      </c>
    </row>
    <row r="14" customFormat="false" ht="23.85" hidden="false" customHeight="false" outlineLevel="0" collapsed="false">
      <c r="A14" s="6"/>
      <c r="B14" s="7"/>
      <c r="C14" s="7" t="s">
        <v>147</v>
      </c>
      <c r="D14" s="6" t="s">
        <v>11</v>
      </c>
    </row>
    <row r="15" customFormat="false" ht="15" hidden="false" customHeight="false" outlineLevel="0" collapsed="false">
      <c r="A15" s="4"/>
      <c r="B15" s="5"/>
      <c r="C15" s="5" t="s">
        <v>148</v>
      </c>
      <c r="D15" s="4" t="s">
        <v>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2026-03-01T07:35:40Z</dcterms:created>
  <dc:creator>openpyxl</dc:creator>
  <dc:description/>
  <dc:language>en-US</dc:language>
  <cp:lastModifiedBy/>
  <dcterms:modified xsi:type="dcterms:W3CDTF">2026-03-01T07:35:40Z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